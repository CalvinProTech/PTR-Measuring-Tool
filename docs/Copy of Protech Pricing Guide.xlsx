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Model" sheetId="1" r:id="rId4"/>
  </sheets>
  <definedNames/>
  <calcPr/>
  <extLst>
    <ext uri="GoogleSheetsCustomDataVersion2">
      <go:sheetsCustomData xmlns:go="http://customooxmlschemas.google.com/" r:id="rId5" roundtripDataChecksum="tuuyjnkU9zdleutB8p6+9goaKRvvCYEZPi4HzXRvy+Y="/>
    </ext>
  </extLst>
</workbook>
</file>

<file path=xl/sharedStrings.xml><?xml version="1.0" encoding="utf-8"?>
<sst xmlns="http://schemas.openxmlformats.org/spreadsheetml/2006/main" count="18" uniqueCount="18">
  <si>
    <t>COMMISSION PRICING MODEL</t>
  </si>
  <si>
    <t>Assumptions</t>
  </si>
  <si>
    <t>Target Profit per Deal</t>
  </si>
  <si>
    <t>Cost per Sq Ft</t>
  </si>
  <si>
    <t>Commission Rate</t>
  </si>
  <si>
    <t>Sq Ft</t>
  </si>
  <si>
    <t>Price/Sq Ft Cash</t>
  </si>
  <si>
    <t>Price/Sq Ft (18% Fee)</t>
  </si>
  <si>
    <t>Price/Sq Ft (23% Fee)</t>
  </si>
  <si>
    <t>Price Cash</t>
  </si>
  <si>
    <t>Price 5% Dealer</t>
  </si>
  <si>
    <t>Price10% Dealer</t>
  </si>
  <si>
    <t>Cost</t>
  </si>
  <si>
    <t>Commission Cash</t>
  </si>
  <si>
    <t>Commission 5% Dealer</t>
  </si>
  <si>
    <t>Commission 10% Dealer</t>
  </si>
  <si>
    <t>Fee (13%)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</si>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</sst>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0.0%"/>
  </numFmts>
  <fonts count="6">
    <font>
      <sz val="11.0"/>
      <color theme="1"/>
      <name val="Calibri"/>
      <scheme val="minor"/>
    </font>
    <font>
      <b/>
      <sz val="9.0"/>
      <color theme="1"/>
      <name val="Cambria"/>
    </font>
    <font>
      <sz val="9.0"/>
      <color theme="1"/>
      <name val="Calibri"/>
    </font>
    <font>
      <sz val="9.0"/>
      <color rgb="FF0000FF"/>
      <name val="Cambria"/>
    </font>
    <font>
      <b/>
      <sz val="9.0"/>
      <color rgb="FFFFFFFF"/>
      <name val="Cambria"/>
    </font>
    <font>
      <b/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1" fillId="2" fontId="4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164" xfId="0" applyBorder="1" applyFont="1" applyNumberFormat="1"/>
    <xf borderId="1" fillId="0" fontId="5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4" width="18.43"/>
    <col customWidth="1" min="5" max="5" width="9.29"/>
    <col customWidth="1" min="6" max="6" width="14.0"/>
    <col customWidth="1" min="7" max="7" width="14.57"/>
    <col customWidth="1" min="8" max="8" width="10.71"/>
    <col customWidth="1" min="9" max="9" width="14.86"/>
    <col customWidth="1" min="10" max="10" width="19.57"/>
    <col customWidth="1" min="11" max="11" width="20.57"/>
    <col customWidth="1" min="12" max="12" width="11.14"/>
    <col customWidth="1" min="13" max="13" width="9.57"/>
    <col customWidth="1" min="14" max="26" width="8.71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</v>
      </c>
      <c r="B4" s="3">
        <v>2000.0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</v>
      </c>
      <c r="B5" s="3">
        <v>4.5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</v>
      </c>
      <c r="B6" s="4">
        <v>0.1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14</v>
      </c>
      <c r="K9" s="5" t="s">
        <v>15</v>
      </c>
      <c r="L9" s="5" t="s">
        <v>16</v>
      </c>
      <c r="M9" s="5" t="s">
        <v>17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v>500.0</v>
      </c>
      <c r="B10" s="7">
        <f t="shared" ref="B10:B85" si="2">($B$4+$B$5*A10)/((1-$B$6-0.13)*A10)</f>
        <v>11.03896104</v>
      </c>
      <c r="C10" s="7">
        <f t="shared" ref="C10:C85" si="3">($B$4+$B$5*A10)/((1-$B$6-0.18)*A10)</f>
        <v>11.80555556</v>
      </c>
      <c r="D10" s="7">
        <f t="shared" ref="D10:D85" si="4">($B$4+$B$5*A10)/((1-$B$6-0.23)*A10)</f>
        <v>12.68656716</v>
      </c>
      <c r="E10" s="7">
        <f t="shared" ref="E10:E85" si="5">B10*A10</f>
        <v>5519.480519</v>
      </c>
      <c r="F10" s="7">
        <f t="shared" ref="F10:F85" si="6">C10*A10</f>
        <v>5902.777778</v>
      </c>
      <c r="G10" s="7">
        <f t="shared" ref="G10:G85" si="7">D10*A10</f>
        <v>6343.283582</v>
      </c>
      <c r="H10" s="7">
        <f t="shared" ref="H10:H85" si="8">$B$5*A10</f>
        <v>2250</v>
      </c>
      <c r="I10" s="8">
        <f t="shared" ref="I10:K10" si="1">$B$6*E10</f>
        <v>551.9480519</v>
      </c>
      <c r="J10" s="8">
        <f t="shared" si="1"/>
        <v>590.2777778</v>
      </c>
      <c r="K10" s="8">
        <f t="shared" si="1"/>
        <v>634.3283582</v>
      </c>
      <c r="L10" s="7">
        <f t="shared" ref="L10:L85" si="10">0.13*E10</f>
        <v>717.5324675</v>
      </c>
      <c r="M10" s="7">
        <f t="shared" ref="M10:M85" si="11">E10-H10-I10-L10</f>
        <v>2000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v>600.0</v>
      </c>
      <c r="B11" s="7">
        <f t="shared" si="2"/>
        <v>10.17316017</v>
      </c>
      <c r="C11" s="7">
        <f t="shared" si="3"/>
        <v>10.87962963</v>
      </c>
      <c r="D11" s="7">
        <f t="shared" si="4"/>
        <v>11.69154229</v>
      </c>
      <c r="E11" s="7">
        <f t="shared" si="5"/>
        <v>6103.896104</v>
      </c>
      <c r="F11" s="7">
        <f t="shared" si="6"/>
        <v>6527.777778</v>
      </c>
      <c r="G11" s="7">
        <f t="shared" si="7"/>
        <v>7014.925373</v>
      </c>
      <c r="H11" s="7">
        <f t="shared" si="8"/>
        <v>2700</v>
      </c>
      <c r="I11" s="8">
        <f t="shared" ref="I11:K11" si="9">$B$6*E11</f>
        <v>610.3896104</v>
      </c>
      <c r="J11" s="8">
        <f t="shared" si="9"/>
        <v>652.7777778</v>
      </c>
      <c r="K11" s="8">
        <f t="shared" si="9"/>
        <v>701.4925373</v>
      </c>
      <c r="L11" s="7">
        <f t="shared" si="10"/>
        <v>793.5064935</v>
      </c>
      <c r="M11" s="7">
        <f t="shared" si="11"/>
        <v>2000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700.0</v>
      </c>
      <c r="B12" s="7">
        <f t="shared" si="2"/>
        <v>9.554730983</v>
      </c>
      <c r="C12" s="7">
        <f t="shared" si="3"/>
        <v>10.21825397</v>
      </c>
      <c r="D12" s="7">
        <f t="shared" si="4"/>
        <v>10.98081023</v>
      </c>
      <c r="E12" s="7">
        <f t="shared" si="5"/>
        <v>6688.311688</v>
      </c>
      <c r="F12" s="7">
        <f t="shared" si="6"/>
        <v>7152.777778</v>
      </c>
      <c r="G12" s="7">
        <f t="shared" si="7"/>
        <v>7686.567164</v>
      </c>
      <c r="H12" s="7">
        <f t="shared" si="8"/>
        <v>3150</v>
      </c>
      <c r="I12" s="8">
        <f t="shared" ref="I12:K12" si="12">$B$6*E12</f>
        <v>668.8311688</v>
      </c>
      <c r="J12" s="8">
        <f t="shared" si="12"/>
        <v>715.2777778</v>
      </c>
      <c r="K12" s="8">
        <f t="shared" si="12"/>
        <v>768.6567164</v>
      </c>
      <c r="L12" s="7">
        <f t="shared" si="10"/>
        <v>869.4805195</v>
      </c>
      <c r="M12" s="7">
        <f t="shared" si="11"/>
        <v>2000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v>800.0</v>
      </c>
      <c r="B13" s="7">
        <f t="shared" si="2"/>
        <v>9.090909091</v>
      </c>
      <c r="C13" s="7">
        <f t="shared" si="3"/>
        <v>9.722222222</v>
      </c>
      <c r="D13" s="7">
        <f t="shared" si="4"/>
        <v>10.44776119</v>
      </c>
      <c r="E13" s="7">
        <f t="shared" si="5"/>
        <v>7272.727273</v>
      </c>
      <c r="F13" s="7">
        <f t="shared" si="6"/>
        <v>7777.777778</v>
      </c>
      <c r="G13" s="7">
        <f t="shared" si="7"/>
        <v>8358.208955</v>
      </c>
      <c r="H13" s="7">
        <f t="shared" si="8"/>
        <v>3600</v>
      </c>
      <c r="I13" s="8">
        <f t="shared" ref="I13:K13" si="13">$B$6*E13</f>
        <v>727.2727273</v>
      </c>
      <c r="J13" s="8">
        <f t="shared" si="13"/>
        <v>777.7777778</v>
      </c>
      <c r="K13" s="8">
        <f t="shared" si="13"/>
        <v>835.8208955</v>
      </c>
      <c r="L13" s="7">
        <f t="shared" si="10"/>
        <v>945.4545455</v>
      </c>
      <c r="M13" s="7">
        <f t="shared" si="11"/>
        <v>2000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900.0</v>
      </c>
      <c r="B14" s="7">
        <f t="shared" si="2"/>
        <v>8.73015873</v>
      </c>
      <c r="C14" s="7">
        <f t="shared" si="3"/>
        <v>9.336419753</v>
      </c>
      <c r="D14" s="7">
        <f t="shared" si="4"/>
        <v>10.0331675</v>
      </c>
      <c r="E14" s="7">
        <f t="shared" si="5"/>
        <v>7857.142857</v>
      </c>
      <c r="F14" s="7">
        <f t="shared" si="6"/>
        <v>8402.777778</v>
      </c>
      <c r="G14" s="7">
        <f t="shared" si="7"/>
        <v>9029.850746</v>
      </c>
      <c r="H14" s="7">
        <f t="shared" si="8"/>
        <v>4050</v>
      </c>
      <c r="I14" s="8">
        <f t="shared" ref="I14:K14" si="14">$B$6*E14</f>
        <v>785.7142857</v>
      </c>
      <c r="J14" s="8">
        <f t="shared" si="14"/>
        <v>840.2777778</v>
      </c>
      <c r="K14" s="8">
        <f t="shared" si="14"/>
        <v>902.9850746</v>
      </c>
      <c r="L14" s="7">
        <f t="shared" si="10"/>
        <v>1021.428571</v>
      </c>
      <c r="M14" s="7">
        <f t="shared" si="11"/>
        <v>2000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1000.0</v>
      </c>
      <c r="B15" s="7">
        <f t="shared" si="2"/>
        <v>8.441558442</v>
      </c>
      <c r="C15" s="7">
        <f t="shared" si="3"/>
        <v>9.027777778</v>
      </c>
      <c r="D15" s="7">
        <f t="shared" si="4"/>
        <v>9.701492537</v>
      </c>
      <c r="E15" s="7">
        <f t="shared" si="5"/>
        <v>8441.558442</v>
      </c>
      <c r="F15" s="7">
        <f t="shared" si="6"/>
        <v>9027.777778</v>
      </c>
      <c r="G15" s="7">
        <f t="shared" si="7"/>
        <v>9701.492537</v>
      </c>
      <c r="H15" s="7">
        <f t="shared" si="8"/>
        <v>4500</v>
      </c>
      <c r="I15" s="8">
        <f t="shared" ref="I15:K15" si="15">$B$6*E15</f>
        <v>844.1558442</v>
      </c>
      <c r="J15" s="8">
        <f t="shared" si="15"/>
        <v>902.7777778</v>
      </c>
      <c r="K15" s="8">
        <f t="shared" si="15"/>
        <v>970.1492537</v>
      </c>
      <c r="L15" s="7">
        <f t="shared" si="10"/>
        <v>1097.402597</v>
      </c>
      <c r="M15" s="7">
        <f t="shared" si="11"/>
        <v>2000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1100.0</v>
      </c>
      <c r="B16" s="7">
        <f t="shared" si="2"/>
        <v>8.205430933</v>
      </c>
      <c r="C16" s="7">
        <f t="shared" si="3"/>
        <v>8.775252525</v>
      </c>
      <c r="D16" s="7">
        <f t="shared" si="4"/>
        <v>9.430122117</v>
      </c>
      <c r="E16" s="7">
        <f t="shared" si="5"/>
        <v>9025.974026</v>
      </c>
      <c r="F16" s="7">
        <f t="shared" si="6"/>
        <v>9652.777778</v>
      </c>
      <c r="G16" s="7">
        <f t="shared" si="7"/>
        <v>10373.13433</v>
      </c>
      <c r="H16" s="7">
        <f t="shared" si="8"/>
        <v>4950</v>
      </c>
      <c r="I16" s="8">
        <f t="shared" ref="I16:K16" si="16">$B$6*E16</f>
        <v>902.5974026</v>
      </c>
      <c r="J16" s="8">
        <f t="shared" si="16"/>
        <v>965.2777778</v>
      </c>
      <c r="K16" s="8">
        <f t="shared" si="16"/>
        <v>1037.313433</v>
      </c>
      <c r="L16" s="7">
        <f t="shared" si="10"/>
        <v>1173.376623</v>
      </c>
      <c r="M16" s="7">
        <f t="shared" si="11"/>
        <v>2000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v>1200.0</v>
      </c>
      <c r="B17" s="7">
        <f t="shared" si="2"/>
        <v>8.008658009</v>
      </c>
      <c r="C17" s="7">
        <f t="shared" si="3"/>
        <v>8.564814815</v>
      </c>
      <c r="D17" s="7">
        <f t="shared" si="4"/>
        <v>9.2039801</v>
      </c>
      <c r="E17" s="7">
        <f t="shared" si="5"/>
        <v>9610.38961</v>
      </c>
      <c r="F17" s="7">
        <f t="shared" si="6"/>
        <v>10277.77778</v>
      </c>
      <c r="G17" s="7">
        <f t="shared" si="7"/>
        <v>11044.77612</v>
      </c>
      <c r="H17" s="7">
        <f t="shared" si="8"/>
        <v>5400</v>
      </c>
      <c r="I17" s="8">
        <f t="shared" ref="I17:K17" si="17">$B$6*E17</f>
        <v>961.038961</v>
      </c>
      <c r="J17" s="8">
        <f t="shared" si="17"/>
        <v>1027.777778</v>
      </c>
      <c r="K17" s="8">
        <f t="shared" si="17"/>
        <v>1104.477612</v>
      </c>
      <c r="L17" s="7">
        <f t="shared" si="10"/>
        <v>1249.350649</v>
      </c>
      <c r="M17" s="7">
        <f t="shared" si="11"/>
        <v>2000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v>1300.0</v>
      </c>
      <c r="B18" s="7">
        <f t="shared" si="2"/>
        <v>7.842157842</v>
      </c>
      <c r="C18" s="7">
        <f t="shared" si="3"/>
        <v>8.386752137</v>
      </c>
      <c r="D18" s="7">
        <f t="shared" si="4"/>
        <v>9.012629162</v>
      </c>
      <c r="E18" s="7">
        <f t="shared" si="5"/>
        <v>10194.80519</v>
      </c>
      <c r="F18" s="7">
        <f t="shared" si="6"/>
        <v>10902.77778</v>
      </c>
      <c r="G18" s="7">
        <f t="shared" si="7"/>
        <v>11716.41791</v>
      </c>
      <c r="H18" s="7">
        <f t="shared" si="8"/>
        <v>5850</v>
      </c>
      <c r="I18" s="8">
        <f t="shared" ref="I18:K18" si="18">$B$6*E18</f>
        <v>1019.480519</v>
      </c>
      <c r="J18" s="8">
        <f t="shared" si="18"/>
        <v>1090.277778</v>
      </c>
      <c r="K18" s="8">
        <f t="shared" si="18"/>
        <v>1171.641791</v>
      </c>
      <c r="L18" s="7">
        <f t="shared" si="10"/>
        <v>1325.324675</v>
      </c>
      <c r="M18" s="7">
        <f t="shared" si="11"/>
        <v>2000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1400.0</v>
      </c>
      <c r="B19" s="7">
        <f t="shared" si="2"/>
        <v>7.699443414</v>
      </c>
      <c r="C19" s="7">
        <f t="shared" si="3"/>
        <v>8.234126984</v>
      </c>
      <c r="D19" s="7">
        <f t="shared" si="4"/>
        <v>8.848614072</v>
      </c>
      <c r="E19" s="7">
        <f t="shared" si="5"/>
        <v>10779.22078</v>
      </c>
      <c r="F19" s="7">
        <f t="shared" si="6"/>
        <v>11527.77778</v>
      </c>
      <c r="G19" s="7">
        <f t="shared" si="7"/>
        <v>12388.0597</v>
      </c>
      <c r="H19" s="7">
        <f t="shared" si="8"/>
        <v>6300</v>
      </c>
      <c r="I19" s="8">
        <f t="shared" ref="I19:K19" si="19">$B$6*E19</f>
        <v>1077.922078</v>
      </c>
      <c r="J19" s="8">
        <f t="shared" si="19"/>
        <v>1152.777778</v>
      </c>
      <c r="K19" s="8">
        <f t="shared" si="19"/>
        <v>1238.80597</v>
      </c>
      <c r="L19" s="7">
        <f t="shared" si="10"/>
        <v>1401.298701</v>
      </c>
      <c r="M19" s="7">
        <f t="shared" si="11"/>
        <v>2000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v>1500.0</v>
      </c>
      <c r="B20" s="7">
        <f t="shared" si="2"/>
        <v>7.575757576</v>
      </c>
      <c r="C20" s="7">
        <f t="shared" si="3"/>
        <v>8.101851852</v>
      </c>
      <c r="D20" s="7">
        <f t="shared" si="4"/>
        <v>8.706467662</v>
      </c>
      <c r="E20" s="7">
        <f t="shared" si="5"/>
        <v>11363.63636</v>
      </c>
      <c r="F20" s="7">
        <f t="shared" si="6"/>
        <v>12152.77778</v>
      </c>
      <c r="G20" s="7">
        <f t="shared" si="7"/>
        <v>13059.70149</v>
      </c>
      <c r="H20" s="7">
        <f t="shared" si="8"/>
        <v>6750</v>
      </c>
      <c r="I20" s="8">
        <f t="shared" ref="I20:K20" si="20">$B$6*E20</f>
        <v>1136.363636</v>
      </c>
      <c r="J20" s="8">
        <f t="shared" si="20"/>
        <v>1215.277778</v>
      </c>
      <c r="K20" s="8">
        <f t="shared" si="20"/>
        <v>1305.970149</v>
      </c>
      <c r="L20" s="7">
        <f t="shared" si="10"/>
        <v>1477.272727</v>
      </c>
      <c r="M20" s="7">
        <f t="shared" si="11"/>
        <v>2000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>
        <v>1600.0</v>
      </c>
      <c r="B21" s="7">
        <f t="shared" si="2"/>
        <v>7.467532468</v>
      </c>
      <c r="C21" s="7">
        <f t="shared" si="3"/>
        <v>7.986111111</v>
      </c>
      <c r="D21" s="7">
        <f t="shared" si="4"/>
        <v>8.582089552</v>
      </c>
      <c r="E21" s="7">
        <f t="shared" si="5"/>
        <v>11948.05195</v>
      </c>
      <c r="F21" s="7">
        <f t="shared" si="6"/>
        <v>12777.77778</v>
      </c>
      <c r="G21" s="7">
        <f t="shared" si="7"/>
        <v>13731.34328</v>
      </c>
      <c r="H21" s="7">
        <f t="shared" si="8"/>
        <v>7200</v>
      </c>
      <c r="I21" s="8">
        <f t="shared" ref="I21:K21" si="21">$B$6*E21</f>
        <v>1194.805195</v>
      </c>
      <c r="J21" s="8">
        <f t="shared" si="21"/>
        <v>1277.777778</v>
      </c>
      <c r="K21" s="8">
        <f t="shared" si="21"/>
        <v>1373.134328</v>
      </c>
      <c r="L21" s="7">
        <f t="shared" si="10"/>
        <v>1553.246753</v>
      </c>
      <c r="M21" s="7">
        <f t="shared" si="11"/>
        <v>2000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>
        <v>1700.0</v>
      </c>
      <c r="B22" s="7">
        <f t="shared" si="2"/>
        <v>7.372039725</v>
      </c>
      <c r="C22" s="7">
        <f t="shared" si="3"/>
        <v>7.883986928</v>
      </c>
      <c r="D22" s="7">
        <f t="shared" si="4"/>
        <v>8.472344162</v>
      </c>
      <c r="E22" s="7">
        <f t="shared" si="5"/>
        <v>12532.46753</v>
      </c>
      <c r="F22" s="7">
        <f t="shared" si="6"/>
        <v>13402.77778</v>
      </c>
      <c r="G22" s="7">
        <f t="shared" si="7"/>
        <v>14402.98507</v>
      </c>
      <c r="H22" s="7">
        <f t="shared" si="8"/>
        <v>7650</v>
      </c>
      <c r="I22" s="8">
        <f t="shared" ref="I22:K22" si="22">$B$6*E22</f>
        <v>1253.246753</v>
      </c>
      <c r="J22" s="8">
        <f t="shared" si="22"/>
        <v>1340.277778</v>
      </c>
      <c r="K22" s="8">
        <f t="shared" si="22"/>
        <v>1440.298507</v>
      </c>
      <c r="L22" s="7">
        <f t="shared" si="10"/>
        <v>1629.220779</v>
      </c>
      <c r="M22" s="7">
        <f t="shared" si="11"/>
        <v>2000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>
        <v>1800.0</v>
      </c>
      <c r="B23" s="7">
        <f t="shared" si="2"/>
        <v>7.287157287</v>
      </c>
      <c r="C23" s="7">
        <f t="shared" si="3"/>
        <v>7.793209877</v>
      </c>
      <c r="D23" s="7">
        <f t="shared" si="4"/>
        <v>8.374792703</v>
      </c>
      <c r="E23" s="7">
        <f t="shared" si="5"/>
        <v>13116.88312</v>
      </c>
      <c r="F23" s="7">
        <f t="shared" si="6"/>
        <v>14027.77778</v>
      </c>
      <c r="G23" s="7">
        <f t="shared" si="7"/>
        <v>15074.62687</v>
      </c>
      <c r="H23" s="7">
        <f t="shared" si="8"/>
        <v>8100</v>
      </c>
      <c r="I23" s="8">
        <f t="shared" ref="I23:K23" si="23">$B$6*E23</f>
        <v>1311.688312</v>
      </c>
      <c r="J23" s="8">
        <f t="shared" si="23"/>
        <v>1402.777778</v>
      </c>
      <c r="K23" s="8">
        <f t="shared" si="23"/>
        <v>1507.462687</v>
      </c>
      <c r="L23" s="7">
        <f t="shared" si="10"/>
        <v>1705.194805</v>
      </c>
      <c r="M23" s="7">
        <f t="shared" si="11"/>
        <v>2000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>
        <v>1900.0</v>
      </c>
      <c r="B24" s="7">
        <f t="shared" si="2"/>
        <v>7.211209843</v>
      </c>
      <c r="C24" s="7">
        <f t="shared" si="3"/>
        <v>7.711988304</v>
      </c>
      <c r="D24" s="7">
        <f t="shared" si="4"/>
        <v>8.287509819</v>
      </c>
      <c r="E24" s="7">
        <f t="shared" si="5"/>
        <v>13701.2987</v>
      </c>
      <c r="F24" s="7">
        <f t="shared" si="6"/>
        <v>14652.77778</v>
      </c>
      <c r="G24" s="7">
        <f t="shared" si="7"/>
        <v>15746.26866</v>
      </c>
      <c r="H24" s="7">
        <f t="shared" si="8"/>
        <v>8550</v>
      </c>
      <c r="I24" s="8">
        <f t="shared" ref="I24:K24" si="24">$B$6*E24</f>
        <v>1370.12987</v>
      </c>
      <c r="J24" s="8">
        <f t="shared" si="24"/>
        <v>1465.277778</v>
      </c>
      <c r="K24" s="8">
        <f t="shared" si="24"/>
        <v>1574.626866</v>
      </c>
      <c r="L24" s="7">
        <f t="shared" si="10"/>
        <v>1781.168831</v>
      </c>
      <c r="M24" s="7">
        <f t="shared" si="11"/>
        <v>2000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>
        <v>2000.0</v>
      </c>
      <c r="B25" s="7">
        <f t="shared" si="2"/>
        <v>7.142857143</v>
      </c>
      <c r="C25" s="7">
        <f t="shared" si="3"/>
        <v>7.638888889</v>
      </c>
      <c r="D25" s="7">
        <f t="shared" si="4"/>
        <v>8.208955224</v>
      </c>
      <c r="E25" s="7">
        <f t="shared" si="5"/>
        <v>14285.71429</v>
      </c>
      <c r="F25" s="7">
        <f t="shared" si="6"/>
        <v>15277.77778</v>
      </c>
      <c r="G25" s="7">
        <f t="shared" si="7"/>
        <v>16417.91045</v>
      </c>
      <c r="H25" s="7">
        <f t="shared" si="8"/>
        <v>9000</v>
      </c>
      <c r="I25" s="8">
        <f t="shared" ref="I25:K25" si="25">$B$6*E25</f>
        <v>1428.571429</v>
      </c>
      <c r="J25" s="8">
        <f t="shared" si="25"/>
        <v>1527.777778</v>
      </c>
      <c r="K25" s="8">
        <f t="shared" si="25"/>
        <v>1641.791045</v>
      </c>
      <c r="L25" s="7">
        <f t="shared" si="10"/>
        <v>1857.142857</v>
      </c>
      <c r="M25" s="7">
        <f t="shared" si="11"/>
        <v>2000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>
        <v>2100.0</v>
      </c>
      <c r="B26" s="7">
        <f t="shared" si="2"/>
        <v>7.081014224</v>
      </c>
      <c r="C26" s="7">
        <f t="shared" si="3"/>
        <v>7.572751323</v>
      </c>
      <c r="D26" s="7">
        <f t="shared" si="4"/>
        <v>8.137882018</v>
      </c>
      <c r="E26" s="7">
        <f t="shared" si="5"/>
        <v>14870.12987</v>
      </c>
      <c r="F26" s="7">
        <f t="shared" si="6"/>
        <v>15902.77778</v>
      </c>
      <c r="G26" s="7">
        <f t="shared" si="7"/>
        <v>17089.55224</v>
      </c>
      <c r="H26" s="7">
        <f t="shared" si="8"/>
        <v>9450</v>
      </c>
      <c r="I26" s="8">
        <f t="shared" ref="I26:K26" si="26">$B$6*E26</f>
        <v>1487.012987</v>
      </c>
      <c r="J26" s="8">
        <f t="shared" si="26"/>
        <v>1590.277778</v>
      </c>
      <c r="K26" s="8">
        <f t="shared" si="26"/>
        <v>1708.955224</v>
      </c>
      <c r="L26" s="7">
        <f t="shared" si="10"/>
        <v>1933.116883</v>
      </c>
      <c r="M26" s="7">
        <f t="shared" si="11"/>
        <v>2000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>
        <v>2200.0</v>
      </c>
      <c r="B27" s="7">
        <f t="shared" si="2"/>
        <v>7.024793388</v>
      </c>
      <c r="C27" s="7">
        <f t="shared" si="3"/>
        <v>7.512626263</v>
      </c>
      <c r="D27" s="7">
        <f t="shared" si="4"/>
        <v>8.073270014</v>
      </c>
      <c r="E27" s="7">
        <f t="shared" si="5"/>
        <v>15454.54545</v>
      </c>
      <c r="F27" s="7">
        <f t="shared" si="6"/>
        <v>16527.77778</v>
      </c>
      <c r="G27" s="7">
        <f t="shared" si="7"/>
        <v>17761.19403</v>
      </c>
      <c r="H27" s="7">
        <f t="shared" si="8"/>
        <v>9900</v>
      </c>
      <c r="I27" s="8">
        <f t="shared" ref="I27:K27" si="27">$B$6*E27</f>
        <v>1545.454545</v>
      </c>
      <c r="J27" s="8">
        <f t="shared" si="27"/>
        <v>1652.777778</v>
      </c>
      <c r="K27" s="8">
        <f t="shared" si="27"/>
        <v>1776.119403</v>
      </c>
      <c r="L27" s="7">
        <f t="shared" si="10"/>
        <v>2009.090909</v>
      </c>
      <c r="M27" s="7">
        <f t="shared" si="11"/>
        <v>2000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>
        <v>2300.0</v>
      </c>
      <c r="B28" s="7">
        <f t="shared" si="2"/>
        <v>6.973461321</v>
      </c>
      <c r="C28" s="7">
        <f t="shared" si="3"/>
        <v>7.457729469</v>
      </c>
      <c r="D28" s="7">
        <f t="shared" si="4"/>
        <v>8.014276444</v>
      </c>
      <c r="E28" s="7">
        <f t="shared" si="5"/>
        <v>16038.96104</v>
      </c>
      <c r="F28" s="7">
        <f t="shared" si="6"/>
        <v>17152.77778</v>
      </c>
      <c r="G28" s="7">
        <f t="shared" si="7"/>
        <v>18432.83582</v>
      </c>
      <c r="H28" s="7">
        <f t="shared" si="8"/>
        <v>10350</v>
      </c>
      <c r="I28" s="8">
        <f t="shared" ref="I28:K28" si="28">$B$6*E28</f>
        <v>1603.896104</v>
      </c>
      <c r="J28" s="8">
        <f t="shared" si="28"/>
        <v>1715.277778</v>
      </c>
      <c r="K28" s="8">
        <f t="shared" si="28"/>
        <v>1843.283582</v>
      </c>
      <c r="L28" s="7">
        <f t="shared" si="10"/>
        <v>2085.064935</v>
      </c>
      <c r="M28" s="7">
        <f t="shared" si="11"/>
        <v>2000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>
        <v>2400.0</v>
      </c>
      <c r="B29" s="7">
        <f t="shared" si="2"/>
        <v>6.926406926</v>
      </c>
      <c r="C29" s="7">
        <f t="shared" si="3"/>
        <v>7.407407407</v>
      </c>
      <c r="D29" s="7">
        <f t="shared" si="4"/>
        <v>7.960199005</v>
      </c>
      <c r="E29" s="7">
        <f t="shared" si="5"/>
        <v>16623.37662</v>
      </c>
      <c r="F29" s="7">
        <f t="shared" si="6"/>
        <v>17777.77778</v>
      </c>
      <c r="G29" s="7">
        <f t="shared" si="7"/>
        <v>19104.47761</v>
      </c>
      <c r="H29" s="7">
        <f t="shared" si="8"/>
        <v>10800</v>
      </c>
      <c r="I29" s="8">
        <f t="shared" ref="I29:K29" si="29">$B$6*E29</f>
        <v>1662.337662</v>
      </c>
      <c r="J29" s="8">
        <f t="shared" si="29"/>
        <v>1777.777778</v>
      </c>
      <c r="K29" s="8">
        <f t="shared" si="29"/>
        <v>1910.447761</v>
      </c>
      <c r="L29" s="7">
        <f t="shared" si="10"/>
        <v>2161.038961</v>
      </c>
      <c r="M29" s="7">
        <f t="shared" si="11"/>
        <v>2000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>
        <v>2500.0</v>
      </c>
      <c r="B30" s="7">
        <f t="shared" si="2"/>
        <v>6.883116883</v>
      </c>
      <c r="C30" s="7">
        <f t="shared" si="3"/>
        <v>7.361111111</v>
      </c>
      <c r="D30" s="7">
        <f t="shared" si="4"/>
        <v>7.910447761</v>
      </c>
      <c r="E30" s="7">
        <f t="shared" si="5"/>
        <v>17207.79221</v>
      </c>
      <c r="F30" s="7">
        <f t="shared" si="6"/>
        <v>18402.77778</v>
      </c>
      <c r="G30" s="7">
        <f t="shared" si="7"/>
        <v>19776.1194</v>
      </c>
      <c r="H30" s="7">
        <f t="shared" si="8"/>
        <v>11250</v>
      </c>
      <c r="I30" s="8">
        <f t="shared" ref="I30:K30" si="30">$B$6*E30</f>
        <v>1720.779221</v>
      </c>
      <c r="J30" s="8">
        <f t="shared" si="30"/>
        <v>1840.277778</v>
      </c>
      <c r="K30" s="8">
        <f t="shared" si="30"/>
        <v>1977.61194</v>
      </c>
      <c r="L30" s="7">
        <f t="shared" si="10"/>
        <v>2237.012987</v>
      </c>
      <c r="M30" s="7">
        <f t="shared" si="11"/>
        <v>2000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>
        <v>2600.0</v>
      </c>
      <c r="B31" s="7">
        <f t="shared" si="2"/>
        <v>6.843156843</v>
      </c>
      <c r="C31" s="7">
        <f t="shared" si="3"/>
        <v>7.318376068</v>
      </c>
      <c r="D31" s="7">
        <f t="shared" si="4"/>
        <v>7.864523536</v>
      </c>
      <c r="E31" s="7">
        <f t="shared" si="5"/>
        <v>17792.20779</v>
      </c>
      <c r="F31" s="7">
        <f t="shared" si="6"/>
        <v>19027.77778</v>
      </c>
      <c r="G31" s="7">
        <f t="shared" si="7"/>
        <v>20447.76119</v>
      </c>
      <c r="H31" s="7">
        <f t="shared" si="8"/>
        <v>11700</v>
      </c>
      <c r="I31" s="8">
        <f t="shared" ref="I31:K31" si="31">$B$6*E31</f>
        <v>1779.220779</v>
      </c>
      <c r="J31" s="8">
        <f t="shared" si="31"/>
        <v>1902.777778</v>
      </c>
      <c r="K31" s="8">
        <f t="shared" si="31"/>
        <v>2044.776119</v>
      </c>
      <c r="L31" s="7">
        <f t="shared" si="10"/>
        <v>2312.987013</v>
      </c>
      <c r="M31" s="7">
        <f t="shared" si="11"/>
        <v>2000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>
        <v>2700.0</v>
      </c>
      <c r="B32" s="7">
        <f t="shared" si="2"/>
        <v>6.806156806</v>
      </c>
      <c r="C32" s="7">
        <f t="shared" si="3"/>
        <v>7.278806584</v>
      </c>
      <c r="D32" s="7">
        <f t="shared" si="4"/>
        <v>7.822001106</v>
      </c>
      <c r="E32" s="7">
        <f t="shared" si="5"/>
        <v>18376.62338</v>
      </c>
      <c r="F32" s="7">
        <f t="shared" si="6"/>
        <v>19652.77778</v>
      </c>
      <c r="G32" s="7">
        <f t="shared" si="7"/>
        <v>21119.40299</v>
      </c>
      <c r="H32" s="7">
        <f t="shared" si="8"/>
        <v>12150</v>
      </c>
      <c r="I32" s="8">
        <f t="shared" ref="I32:K32" si="32">$B$6*E32</f>
        <v>1837.662338</v>
      </c>
      <c r="J32" s="8">
        <f t="shared" si="32"/>
        <v>1965.277778</v>
      </c>
      <c r="K32" s="8">
        <f t="shared" si="32"/>
        <v>2111.940299</v>
      </c>
      <c r="L32" s="7">
        <f t="shared" si="10"/>
        <v>2388.961039</v>
      </c>
      <c r="M32" s="7">
        <f t="shared" si="11"/>
        <v>2000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>
        <v>2800.0</v>
      </c>
      <c r="B33" s="7">
        <f t="shared" si="2"/>
        <v>6.771799629</v>
      </c>
      <c r="C33" s="7">
        <f t="shared" si="3"/>
        <v>7.242063492</v>
      </c>
      <c r="D33" s="7">
        <f t="shared" si="4"/>
        <v>7.782515991</v>
      </c>
      <c r="E33" s="7">
        <f t="shared" si="5"/>
        <v>18961.03896</v>
      </c>
      <c r="F33" s="7">
        <f t="shared" si="6"/>
        <v>20277.77778</v>
      </c>
      <c r="G33" s="7">
        <f t="shared" si="7"/>
        <v>21791.04478</v>
      </c>
      <c r="H33" s="7">
        <f t="shared" si="8"/>
        <v>12600</v>
      </c>
      <c r="I33" s="8">
        <f t="shared" ref="I33:K33" si="33">$B$6*E33</f>
        <v>1896.103896</v>
      </c>
      <c r="J33" s="8">
        <f t="shared" si="33"/>
        <v>2027.777778</v>
      </c>
      <c r="K33" s="8">
        <f t="shared" si="33"/>
        <v>2179.104478</v>
      </c>
      <c r="L33" s="7">
        <f t="shared" si="10"/>
        <v>2464.935065</v>
      </c>
      <c r="M33" s="7">
        <f t="shared" si="11"/>
        <v>2000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>
        <v>2900.0</v>
      </c>
      <c r="B34" s="7">
        <f t="shared" si="2"/>
        <v>6.739811912</v>
      </c>
      <c r="C34" s="7">
        <f t="shared" si="3"/>
        <v>7.207854406</v>
      </c>
      <c r="D34" s="7">
        <f t="shared" si="4"/>
        <v>7.745753989</v>
      </c>
      <c r="E34" s="7">
        <f t="shared" si="5"/>
        <v>19545.45455</v>
      </c>
      <c r="F34" s="7">
        <f t="shared" si="6"/>
        <v>20902.77778</v>
      </c>
      <c r="G34" s="7">
        <f t="shared" si="7"/>
        <v>22462.68657</v>
      </c>
      <c r="H34" s="7">
        <f t="shared" si="8"/>
        <v>13050</v>
      </c>
      <c r="I34" s="8">
        <f t="shared" ref="I34:K34" si="34">$B$6*E34</f>
        <v>1954.545455</v>
      </c>
      <c r="J34" s="8">
        <f t="shared" si="34"/>
        <v>2090.277778</v>
      </c>
      <c r="K34" s="8">
        <f t="shared" si="34"/>
        <v>2246.268657</v>
      </c>
      <c r="L34" s="7">
        <f t="shared" si="10"/>
        <v>2540.909091</v>
      </c>
      <c r="M34" s="7">
        <f t="shared" si="11"/>
        <v>2000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>
        <v>3000.0</v>
      </c>
      <c r="B35" s="7">
        <f t="shared" si="2"/>
        <v>6.70995671</v>
      </c>
      <c r="C35" s="7">
        <f t="shared" si="3"/>
        <v>7.175925926</v>
      </c>
      <c r="D35" s="7">
        <f t="shared" si="4"/>
        <v>7.711442786</v>
      </c>
      <c r="E35" s="7">
        <f t="shared" si="5"/>
        <v>20129.87013</v>
      </c>
      <c r="F35" s="7">
        <f t="shared" si="6"/>
        <v>21527.77778</v>
      </c>
      <c r="G35" s="7">
        <f t="shared" si="7"/>
        <v>23134.32836</v>
      </c>
      <c r="H35" s="7">
        <f t="shared" si="8"/>
        <v>13500</v>
      </c>
      <c r="I35" s="8">
        <f t="shared" ref="I35:K35" si="35">$B$6*E35</f>
        <v>2012.987013</v>
      </c>
      <c r="J35" s="8">
        <f t="shared" si="35"/>
        <v>2152.777778</v>
      </c>
      <c r="K35" s="8">
        <f t="shared" si="35"/>
        <v>2313.432836</v>
      </c>
      <c r="L35" s="7">
        <f t="shared" si="10"/>
        <v>2616.883117</v>
      </c>
      <c r="M35" s="7">
        <f t="shared" si="11"/>
        <v>2000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>
        <v>3100.0</v>
      </c>
      <c r="B36" s="7">
        <f t="shared" si="2"/>
        <v>6.68202765</v>
      </c>
      <c r="C36" s="7">
        <f t="shared" si="3"/>
        <v>7.146057348</v>
      </c>
      <c r="D36" s="7">
        <f t="shared" si="4"/>
        <v>7.679345209</v>
      </c>
      <c r="E36" s="7">
        <f t="shared" si="5"/>
        <v>20714.28571</v>
      </c>
      <c r="F36" s="7">
        <f t="shared" si="6"/>
        <v>22152.77778</v>
      </c>
      <c r="G36" s="7">
        <f t="shared" si="7"/>
        <v>23805.97015</v>
      </c>
      <c r="H36" s="7">
        <f t="shared" si="8"/>
        <v>13950</v>
      </c>
      <c r="I36" s="8">
        <f t="shared" ref="I36:K36" si="36">$B$6*E36</f>
        <v>2071.428571</v>
      </c>
      <c r="J36" s="8">
        <f t="shared" si="36"/>
        <v>2215.277778</v>
      </c>
      <c r="K36" s="8">
        <f t="shared" si="36"/>
        <v>2380.597015</v>
      </c>
      <c r="L36" s="7">
        <f t="shared" si="10"/>
        <v>2692.857143</v>
      </c>
      <c r="M36" s="7">
        <f t="shared" si="11"/>
        <v>2000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>
        <v>3200.0</v>
      </c>
      <c r="B37" s="7">
        <f t="shared" si="2"/>
        <v>6.655844156</v>
      </c>
      <c r="C37" s="7">
        <f t="shared" si="3"/>
        <v>7.118055556</v>
      </c>
      <c r="D37" s="7">
        <f t="shared" si="4"/>
        <v>7.649253731</v>
      </c>
      <c r="E37" s="7">
        <f t="shared" si="5"/>
        <v>21298.7013</v>
      </c>
      <c r="F37" s="7">
        <f t="shared" si="6"/>
        <v>22777.77778</v>
      </c>
      <c r="G37" s="7">
        <f t="shared" si="7"/>
        <v>24477.61194</v>
      </c>
      <c r="H37" s="7">
        <f t="shared" si="8"/>
        <v>14400</v>
      </c>
      <c r="I37" s="8">
        <f t="shared" ref="I37:K37" si="37">$B$6*E37</f>
        <v>2129.87013</v>
      </c>
      <c r="J37" s="8">
        <f t="shared" si="37"/>
        <v>2277.777778</v>
      </c>
      <c r="K37" s="8">
        <f t="shared" si="37"/>
        <v>2447.761194</v>
      </c>
      <c r="L37" s="7">
        <f t="shared" si="10"/>
        <v>2768.831169</v>
      </c>
      <c r="M37" s="7">
        <f t="shared" si="11"/>
        <v>2000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>
        <v>3300.0</v>
      </c>
      <c r="B38" s="7">
        <f t="shared" si="2"/>
        <v>6.63124754</v>
      </c>
      <c r="C38" s="7">
        <f t="shared" si="3"/>
        <v>7.091750842</v>
      </c>
      <c r="D38" s="7">
        <f t="shared" si="4"/>
        <v>7.620985979</v>
      </c>
      <c r="E38" s="7">
        <f t="shared" si="5"/>
        <v>21883.11688</v>
      </c>
      <c r="F38" s="7">
        <f t="shared" si="6"/>
        <v>23402.77778</v>
      </c>
      <c r="G38" s="7">
        <f t="shared" si="7"/>
        <v>25149.25373</v>
      </c>
      <c r="H38" s="7">
        <f t="shared" si="8"/>
        <v>14850</v>
      </c>
      <c r="I38" s="8">
        <f t="shared" ref="I38:K38" si="38">$B$6*E38</f>
        <v>2188.311688</v>
      </c>
      <c r="J38" s="8">
        <f t="shared" si="38"/>
        <v>2340.277778</v>
      </c>
      <c r="K38" s="8">
        <f t="shared" si="38"/>
        <v>2514.925373</v>
      </c>
      <c r="L38" s="7">
        <f t="shared" si="10"/>
        <v>2844.805195</v>
      </c>
      <c r="M38" s="7">
        <f t="shared" si="11"/>
        <v>2000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>
        <v>3400.0</v>
      </c>
      <c r="B39" s="7">
        <f t="shared" si="2"/>
        <v>6.608097785</v>
      </c>
      <c r="C39" s="7">
        <f t="shared" si="3"/>
        <v>7.066993464</v>
      </c>
      <c r="D39" s="7">
        <f t="shared" si="4"/>
        <v>7.594381036</v>
      </c>
      <c r="E39" s="7">
        <f t="shared" si="5"/>
        <v>22467.53247</v>
      </c>
      <c r="F39" s="7">
        <f t="shared" si="6"/>
        <v>24027.77778</v>
      </c>
      <c r="G39" s="7">
        <f t="shared" si="7"/>
        <v>25820.89552</v>
      </c>
      <c r="H39" s="7">
        <f t="shared" si="8"/>
        <v>15300</v>
      </c>
      <c r="I39" s="8">
        <f t="shared" ref="I39:K39" si="39">$B$6*E39</f>
        <v>2246.753247</v>
      </c>
      <c r="J39" s="8">
        <f t="shared" si="39"/>
        <v>2402.777778</v>
      </c>
      <c r="K39" s="8">
        <f t="shared" si="39"/>
        <v>2582.089552</v>
      </c>
      <c r="L39" s="7">
        <f t="shared" si="10"/>
        <v>2920.779221</v>
      </c>
      <c r="M39" s="7">
        <f t="shared" si="11"/>
        <v>2000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>
        <v>3500.0</v>
      </c>
      <c r="B40" s="7">
        <f t="shared" si="2"/>
        <v>6.586270872</v>
      </c>
      <c r="C40" s="7">
        <f t="shared" si="3"/>
        <v>7.043650794</v>
      </c>
      <c r="D40" s="7">
        <f t="shared" si="4"/>
        <v>7.569296375</v>
      </c>
      <c r="E40" s="7">
        <f t="shared" si="5"/>
        <v>23051.94805</v>
      </c>
      <c r="F40" s="7">
        <f t="shared" si="6"/>
        <v>24652.77778</v>
      </c>
      <c r="G40" s="7">
        <f t="shared" si="7"/>
        <v>26492.53731</v>
      </c>
      <c r="H40" s="7">
        <f t="shared" si="8"/>
        <v>15750</v>
      </c>
      <c r="I40" s="8">
        <f t="shared" ref="I40:K40" si="40">$B$6*E40</f>
        <v>2305.194805</v>
      </c>
      <c r="J40" s="8">
        <f t="shared" si="40"/>
        <v>2465.277778</v>
      </c>
      <c r="K40" s="8">
        <f t="shared" si="40"/>
        <v>2649.253731</v>
      </c>
      <c r="L40" s="7">
        <f t="shared" si="10"/>
        <v>2996.753247</v>
      </c>
      <c r="M40" s="7">
        <f t="shared" si="11"/>
        <v>2000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>
        <v>3600.0</v>
      </c>
      <c r="B41" s="7">
        <f t="shared" si="2"/>
        <v>6.565656566</v>
      </c>
      <c r="C41" s="7">
        <f t="shared" si="3"/>
        <v>7.021604938</v>
      </c>
      <c r="D41" s="7">
        <f t="shared" si="4"/>
        <v>7.545605307</v>
      </c>
      <c r="E41" s="7">
        <f t="shared" si="5"/>
        <v>23636.36364</v>
      </c>
      <c r="F41" s="7">
        <f t="shared" si="6"/>
        <v>25277.77778</v>
      </c>
      <c r="G41" s="7">
        <f t="shared" si="7"/>
        <v>27164.1791</v>
      </c>
      <c r="H41" s="7">
        <f t="shared" si="8"/>
        <v>16200</v>
      </c>
      <c r="I41" s="8">
        <f t="shared" ref="I41:K41" si="41">$B$6*E41</f>
        <v>2363.636364</v>
      </c>
      <c r="J41" s="8">
        <f t="shared" si="41"/>
        <v>2527.777778</v>
      </c>
      <c r="K41" s="8">
        <f t="shared" si="41"/>
        <v>2716.41791</v>
      </c>
      <c r="L41" s="7">
        <f t="shared" si="10"/>
        <v>3072.727273</v>
      </c>
      <c r="M41" s="7">
        <f t="shared" si="11"/>
        <v>2000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>
        <v>3700.0</v>
      </c>
      <c r="B42" s="7">
        <f t="shared" si="2"/>
        <v>6.546156546</v>
      </c>
      <c r="C42" s="7">
        <f t="shared" si="3"/>
        <v>7.000750751</v>
      </c>
      <c r="D42" s="7">
        <f t="shared" si="4"/>
        <v>7.523194837</v>
      </c>
      <c r="E42" s="7">
        <f t="shared" si="5"/>
        <v>24220.77922</v>
      </c>
      <c r="F42" s="7">
        <f t="shared" si="6"/>
        <v>25902.77778</v>
      </c>
      <c r="G42" s="7">
        <f t="shared" si="7"/>
        <v>27835.8209</v>
      </c>
      <c r="H42" s="7">
        <f t="shared" si="8"/>
        <v>16650</v>
      </c>
      <c r="I42" s="8">
        <f t="shared" ref="I42:K42" si="42">$B$6*E42</f>
        <v>2422.077922</v>
      </c>
      <c r="J42" s="8">
        <f t="shared" si="42"/>
        <v>2590.277778</v>
      </c>
      <c r="K42" s="8">
        <f t="shared" si="42"/>
        <v>2783.58209</v>
      </c>
      <c r="L42" s="7">
        <f t="shared" si="10"/>
        <v>3148.701299</v>
      </c>
      <c r="M42" s="7">
        <f t="shared" si="11"/>
        <v>2000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>
        <v>3800.0</v>
      </c>
      <c r="B43" s="7">
        <f t="shared" si="2"/>
        <v>6.527682843</v>
      </c>
      <c r="C43" s="7">
        <f t="shared" si="3"/>
        <v>6.980994152</v>
      </c>
      <c r="D43" s="7">
        <f t="shared" si="4"/>
        <v>7.501963865</v>
      </c>
      <c r="E43" s="7">
        <f t="shared" si="5"/>
        <v>24805.19481</v>
      </c>
      <c r="F43" s="7">
        <f t="shared" si="6"/>
        <v>26527.77778</v>
      </c>
      <c r="G43" s="7">
        <f t="shared" si="7"/>
        <v>28507.46269</v>
      </c>
      <c r="H43" s="7">
        <f t="shared" si="8"/>
        <v>17100</v>
      </c>
      <c r="I43" s="8">
        <f t="shared" ref="I43:K43" si="43">$B$6*E43</f>
        <v>2480.519481</v>
      </c>
      <c r="J43" s="8">
        <f t="shared" si="43"/>
        <v>2652.777778</v>
      </c>
      <c r="K43" s="8">
        <f t="shared" si="43"/>
        <v>2850.746269</v>
      </c>
      <c r="L43" s="7">
        <f t="shared" si="10"/>
        <v>3224.675325</v>
      </c>
      <c r="M43" s="7">
        <f t="shared" si="11"/>
        <v>2000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>
        <v>3900.0</v>
      </c>
      <c r="B44" s="7">
        <f t="shared" si="2"/>
        <v>6.51015651</v>
      </c>
      <c r="C44" s="7">
        <f t="shared" si="3"/>
        <v>6.962250712</v>
      </c>
      <c r="D44" s="7">
        <f t="shared" si="4"/>
        <v>7.481821661</v>
      </c>
      <c r="E44" s="7">
        <f t="shared" si="5"/>
        <v>25389.61039</v>
      </c>
      <c r="F44" s="7">
        <f t="shared" si="6"/>
        <v>27152.77778</v>
      </c>
      <c r="G44" s="7">
        <f t="shared" si="7"/>
        <v>29179.10448</v>
      </c>
      <c r="H44" s="7">
        <f t="shared" si="8"/>
        <v>17550</v>
      </c>
      <c r="I44" s="8">
        <f t="shared" ref="I44:K44" si="44">$B$6*E44</f>
        <v>2538.961039</v>
      </c>
      <c r="J44" s="8">
        <f t="shared" si="44"/>
        <v>2715.277778</v>
      </c>
      <c r="K44" s="8">
        <f t="shared" si="44"/>
        <v>2917.910448</v>
      </c>
      <c r="L44" s="7">
        <f t="shared" si="10"/>
        <v>3300.649351</v>
      </c>
      <c r="M44" s="7">
        <f t="shared" si="11"/>
        <v>2000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>
        <v>4000.0</v>
      </c>
      <c r="B45" s="7">
        <f t="shared" si="2"/>
        <v>6.493506494</v>
      </c>
      <c r="C45" s="7">
        <f t="shared" si="3"/>
        <v>6.944444444</v>
      </c>
      <c r="D45" s="7">
        <f t="shared" si="4"/>
        <v>7.462686567</v>
      </c>
      <c r="E45" s="7">
        <f t="shared" si="5"/>
        <v>25974.02597</v>
      </c>
      <c r="F45" s="7">
        <f t="shared" si="6"/>
        <v>27777.77778</v>
      </c>
      <c r="G45" s="7">
        <f t="shared" si="7"/>
        <v>29850.74627</v>
      </c>
      <c r="H45" s="7">
        <f t="shared" si="8"/>
        <v>18000</v>
      </c>
      <c r="I45" s="8">
        <f t="shared" ref="I45:K45" si="45">$B$6*E45</f>
        <v>2597.402597</v>
      </c>
      <c r="J45" s="8">
        <f t="shared" si="45"/>
        <v>2777.777778</v>
      </c>
      <c r="K45" s="8">
        <f t="shared" si="45"/>
        <v>2985.074627</v>
      </c>
      <c r="L45" s="7">
        <f t="shared" si="10"/>
        <v>3376.623377</v>
      </c>
      <c r="M45" s="7">
        <f t="shared" si="11"/>
        <v>2000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>
        <v>4100.0</v>
      </c>
      <c r="B46" s="7">
        <f t="shared" si="2"/>
        <v>6.477668673</v>
      </c>
      <c r="C46" s="7">
        <f t="shared" si="3"/>
        <v>6.927506775</v>
      </c>
      <c r="D46" s="7">
        <f t="shared" si="4"/>
        <v>7.444484893</v>
      </c>
      <c r="E46" s="7">
        <f t="shared" si="5"/>
        <v>26558.44156</v>
      </c>
      <c r="F46" s="7">
        <f t="shared" si="6"/>
        <v>28402.77778</v>
      </c>
      <c r="G46" s="7">
        <f t="shared" si="7"/>
        <v>30522.38806</v>
      </c>
      <c r="H46" s="7">
        <f t="shared" si="8"/>
        <v>18450</v>
      </c>
      <c r="I46" s="8">
        <f t="shared" ref="I46:K46" si="46">$B$6*E46</f>
        <v>2655.844156</v>
      </c>
      <c r="J46" s="8">
        <f t="shared" si="46"/>
        <v>2840.277778</v>
      </c>
      <c r="K46" s="8">
        <f t="shared" si="46"/>
        <v>3052.238806</v>
      </c>
      <c r="L46" s="7">
        <f t="shared" si="10"/>
        <v>3452.597403</v>
      </c>
      <c r="M46" s="7">
        <f t="shared" si="11"/>
        <v>2000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>
        <v>4200.0</v>
      </c>
      <c r="B47" s="7">
        <f t="shared" si="2"/>
        <v>6.462585034</v>
      </c>
      <c r="C47" s="7">
        <f t="shared" si="3"/>
        <v>6.911375661</v>
      </c>
      <c r="D47" s="7">
        <f t="shared" si="4"/>
        <v>7.427149964</v>
      </c>
      <c r="E47" s="7">
        <f t="shared" si="5"/>
        <v>27142.85714</v>
      </c>
      <c r="F47" s="7">
        <f t="shared" si="6"/>
        <v>29027.77778</v>
      </c>
      <c r="G47" s="7">
        <f t="shared" si="7"/>
        <v>31194.02985</v>
      </c>
      <c r="H47" s="7">
        <f t="shared" si="8"/>
        <v>18900</v>
      </c>
      <c r="I47" s="8">
        <f t="shared" ref="I47:K47" si="47">$B$6*E47</f>
        <v>2714.285714</v>
      </c>
      <c r="J47" s="8">
        <f t="shared" si="47"/>
        <v>2902.777778</v>
      </c>
      <c r="K47" s="8">
        <f t="shared" si="47"/>
        <v>3119.402985</v>
      </c>
      <c r="L47" s="7">
        <f t="shared" si="10"/>
        <v>3528.571429</v>
      </c>
      <c r="M47" s="7">
        <f t="shared" si="11"/>
        <v>2000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>
        <v>4300.0</v>
      </c>
      <c r="B48" s="7">
        <f t="shared" si="2"/>
        <v>6.44820296</v>
      </c>
      <c r="C48" s="7">
        <f t="shared" si="3"/>
        <v>6.895994832</v>
      </c>
      <c r="D48" s="7">
        <f t="shared" si="4"/>
        <v>7.410621312</v>
      </c>
      <c r="E48" s="7">
        <f t="shared" si="5"/>
        <v>27727.27273</v>
      </c>
      <c r="F48" s="7">
        <f t="shared" si="6"/>
        <v>29652.77778</v>
      </c>
      <c r="G48" s="7">
        <f t="shared" si="7"/>
        <v>31865.67164</v>
      </c>
      <c r="H48" s="7">
        <f t="shared" si="8"/>
        <v>19350</v>
      </c>
      <c r="I48" s="8">
        <f t="shared" ref="I48:K48" si="48">$B$6*E48</f>
        <v>2772.727273</v>
      </c>
      <c r="J48" s="8">
        <f t="shared" si="48"/>
        <v>2965.277778</v>
      </c>
      <c r="K48" s="8">
        <f t="shared" si="48"/>
        <v>3186.567164</v>
      </c>
      <c r="L48" s="7">
        <f t="shared" si="10"/>
        <v>3604.545455</v>
      </c>
      <c r="M48" s="7">
        <f t="shared" si="11"/>
        <v>2000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>
        <v>4400.0</v>
      </c>
      <c r="B49" s="7">
        <f t="shared" si="2"/>
        <v>6.434474616</v>
      </c>
      <c r="C49" s="7">
        <f t="shared" si="3"/>
        <v>6.881313131</v>
      </c>
      <c r="D49" s="7">
        <f t="shared" si="4"/>
        <v>7.394843962</v>
      </c>
      <c r="E49" s="7">
        <f t="shared" si="5"/>
        <v>28311.68831</v>
      </c>
      <c r="F49" s="7">
        <f t="shared" si="6"/>
        <v>30277.77778</v>
      </c>
      <c r="G49" s="7">
        <f t="shared" si="7"/>
        <v>32537.31343</v>
      </c>
      <c r="H49" s="7">
        <f t="shared" si="8"/>
        <v>19800</v>
      </c>
      <c r="I49" s="8">
        <f t="shared" ref="I49:K49" si="49">$B$6*E49</f>
        <v>2831.168831</v>
      </c>
      <c r="J49" s="8">
        <f t="shared" si="49"/>
        <v>3027.777778</v>
      </c>
      <c r="K49" s="8">
        <f t="shared" si="49"/>
        <v>3253.731343</v>
      </c>
      <c r="L49" s="7">
        <f t="shared" si="10"/>
        <v>3680.519481</v>
      </c>
      <c r="M49" s="7">
        <f t="shared" si="11"/>
        <v>2000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>
        <v>4500.0</v>
      </c>
      <c r="B50" s="7">
        <f t="shared" si="2"/>
        <v>6.421356421</v>
      </c>
      <c r="C50" s="7">
        <f t="shared" si="3"/>
        <v>6.867283951</v>
      </c>
      <c r="D50" s="7">
        <f t="shared" si="4"/>
        <v>7.379767828</v>
      </c>
      <c r="E50" s="7">
        <f t="shared" si="5"/>
        <v>28896.1039</v>
      </c>
      <c r="F50" s="7">
        <f t="shared" si="6"/>
        <v>30902.77778</v>
      </c>
      <c r="G50" s="7">
        <f t="shared" si="7"/>
        <v>33208.95522</v>
      </c>
      <c r="H50" s="7">
        <f t="shared" si="8"/>
        <v>20250</v>
      </c>
      <c r="I50" s="8">
        <f t="shared" ref="I50:K50" si="50">$B$6*E50</f>
        <v>2889.61039</v>
      </c>
      <c r="J50" s="8">
        <f t="shared" si="50"/>
        <v>3090.277778</v>
      </c>
      <c r="K50" s="8">
        <f t="shared" si="50"/>
        <v>3320.895522</v>
      </c>
      <c r="L50" s="7">
        <f t="shared" si="10"/>
        <v>3756.493506</v>
      </c>
      <c r="M50" s="7">
        <f t="shared" si="11"/>
        <v>2000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>
        <v>4600.0</v>
      </c>
      <c r="B51" s="7">
        <f t="shared" si="2"/>
        <v>6.408808583</v>
      </c>
      <c r="C51" s="7">
        <f t="shared" si="3"/>
        <v>6.853864734</v>
      </c>
      <c r="D51" s="7">
        <f t="shared" si="4"/>
        <v>7.365347177</v>
      </c>
      <c r="E51" s="7">
        <f t="shared" si="5"/>
        <v>29480.51948</v>
      </c>
      <c r="F51" s="7">
        <f t="shared" si="6"/>
        <v>31527.77778</v>
      </c>
      <c r="G51" s="7">
        <f t="shared" si="7"/>
        <v>33880.59701</v>
      </c>
      <c r="H51" s="7">
        <f t="shared" si="8"/>
        <v>20700</v>
      </c>
      <c r="I51" s="8">
        <f t="shared" ref="I51:K51" si="51">$B$6*E51</f>
        <v>2948.051948</v>
      </c>
      <c r="J51" s="8">
        <f t="shared" si="51"/>
        <v>3152.777778</v>
      </c>
      <c r="K51" s="8">
        <f t="shared" si="51"/>
        <v>3388.059701</v>
      </c>
      <c r="L51" s="7">
        <f t="shared" si="10"/>
        <v>3832.467532</v>
      </c>
      <c r="M51" s="7">
        <f t="shared" si="11"/>
        <v>2000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>
        <v>4700.0</v>
      </c>
      <c r="B52" s="7">
        <f t="shared" si="2"/>
        <v>6.396794695</v>
      </c>
      <c r="C52" s="7">
        <f t="shared" si="3"/>
        <v>6.841016548</v>
      </c>
      <c r="D52" s="7">
        <f t="shared" si="4"/>
        <v>7.351540171</v>
      </c>
      <c r="E52" s="7">
        <f t="shared" si="5"/>
        <v>30064.93506</v>
      </c>
      <c r="F52" s="7">
        <f t="shared" si="6"/>
        <v>32152.77778</v>
      </c>
      <c r="G52" s="7">
        <f t="shared" si="7"/>
        <v>34552.23881</v>
      </c>
      <c r="H52" s="7">
        <f t="shared" si="8"/>
        <v>21150</v>
      </c>
      <c r="I52" s="8">
        <f t="shared" ref="I52:K52" si="52">$B$6*E52</f>
        <v>3006.493506</v>
      </c>
      <c r="J52" s="8">
        <f t="shared" si="52"/>
        <v>3215.277778</v>
      </c>
      <c r="K52" s="8">
        <f t="shared" si="52"/>
        <v>3455.223881</v>
      </c>
      <c r="L52" s="7">
        <f t="shared" si="10"/>
        <v>3908.441558</v>
      </c>
      <c r="M52" s="7">
        <f t="shared" si="11"/>
        <v>2000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>
        <v>4800.0</v>
      </c>
      <c r="B53" s="7">
        <f t="shared" si="2"/>
        <v>6.385281385</v>
      </c>
      <c r="C53" s="7">
        <f t="shared" si="3"/>
        <v>6.828703704</v>
      </c>
      <c r="D53" s="7">
        <f t="shared" si="4"/>
        <v>7.338308458</v>
      </c>
      <c r="E53" s="7">
        <f t="shared" si="5"/>
        <v>30649.35065</v>
      </c>
      <c r="F53" s="7">
        <f t="shared" si="6"/>
        <v>32777.77778</v>
      </c>
      <c r="G53" s="7">
        <f t="shared" si="7"/>
        <v>35223.8806</v>
      </c>
      <c r="H53" s="7">
        <f t="shared" si="8"/>
        <v>21600</v>
      </c>
      <c r="I53" s="8">
        <f t="shared" ref="I53:K53" si="53">$B$6*E53</f>
        <v>3064.935065</v>
      </c>
      <c r="J53" s="8">
        <f t="shared" si="53"/>
        <v>3277.777778</v>
      </c>
      <c r="K53" s="8">
        <f t="shared" si="53"/>
        <v>3522.38806</v>
      </c>
      <c r="L53" s="7">
        <f t="shared" si="10"/>
        <v>3984.415584</v>
      </c>
      <c r="M53" s="7">
        <f t="shared" si="11"/>
        <v>2000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>
        <v>4900.0</v>
      </c>
      <c r="B54" s="7">
        <f t="shared" si="2"/>
        <v>6.374238007</v>
      </c>
      <c r="C54" s="7">
        <f t="shared" si="3"/>
        <v>6.816893424</v>
      </c>
      <c r="D54" s="7">
        <f t="shared" si="4"/>
        <v>7.325616814</v>
      </c>
      <c r="E54" s="7">
        <f t="shared" si="5"/>
        <v>31233.76623</v>
      </c>
      <c r="F54" s="7">
        <f t="shared" si="6"/>
        <v>33402.77778</v>
      </c>
      <c r="G54" s="7">
        <f t="shared" si="7"/>
        <v>35895.52239</v>
      </c>
      <c r="H54" s="7">
        <f t="shared" si="8"/>
        <v>22050</v>
      </c>
      <c r="I54" s="8">
        <f t="shared" ref="I54:K54" si="54">$B$6*E54</f>
        <v>3123.376623</v>
      </c>
      <c r="J54" s="8">
        <f t="shared" si="54"/>
        <v>3340.277778</v>
      </c>
      <c r="K54" s="8">
        <f t="shared" si="54"/>
        <v>3589.552239</v>
      </c>
      <c r="L54" s="7">
        <f t="shared" si="10"/>
        <v>4060.38961</v>
      </c>
      <c r="M54" s="7">
        <f t="shared" si="11"/>
        <v>2000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>
        <v>5000.0</v>
      </c>
      <c r="B55" s="7">
        <f t="shared" si="2"/>
        <v>6.363636364</v>
      </c>
      <c r="C55" s="7">
        <f t="shared" si="3"/>
        <v>6.805555556</v>
      </c>
      <c r="D55" s="7">
        <f t="shared" si="4"/>
        <v>7.313432836</v>
      </c>
      <c r="E55" s="7">
        <f t="shared" si="5"/>
        <v>31818.18182</v>
      </c>
      <c r="F55" s="7">
        <f t="shared" si="6"/>
        <v>34027.77778</v>
      </c>
      <c r="G55" s="7">
        <f t="shared" si="7"/>
        <v>36567.16418</v>
      </c>
      <c r="H55" s="7">
        <f t="shared" si="8"/>
        <v>22500</v>
      </c>
      <c r="I55" s="8">
        <f t="shared" ref="I55:K55" si="55">$B$6*E55</f>
        <v>3181.818182</v>
      </c>
      <c r="J55" s="8">
        <f t="shared" si="55"/>
        <v>3402.777778</v>
      </c>
      <c r="K55" s="8">
        <f t="shared" si="55"/>
        <v>3656.716418</v>
      </c>
      <c r="L55" s="7">
        <f t="shared" si="10"/>
        <v>4136.363636</v>
      </c>
      <c r="M55" s="7">
        <f t="shared" si="11"/>
        <v>2000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>
        <v>5100.0</v>
      </c>
      <c r="B56" s="7">
        <f t="shared" si="2"/>
        <v>6.353450471</v>
      </c>
      <c r="C56" s="7">
        <f t="shared" si="3"/>
        <v>6.794662309</v>
      </c>
      <c r="D56" s="7">
        <f t="shared" si="4"/>
        <v>7.301726661</v>
      </c>
      <c r="E56" s="7">
        <f t="shared" si="5"/>
        <v>32402.5974</v>
      </c>
      <c r="F56" s="7">
        <f t="shared" si="6"/>
        <v>34652.77778</v>
      </c>
      <c r="G56" s="7">
        <f t="shared" si="7"/>
        <v>37238.80597</v>
      </c>
      <c r="H56" s="7">
        <f t="shared" si="8"/>
        <v>22950</v>
      </c>
      <c r="I56" s="8">
        <f t="shared" ref="I56:K56" si="56">$B$6*E56</f>
        <v>3240.25974</v>
      </c>
      <c r="J56" s="8">
        <f t="shared" si="56"/>
        <v>3465.277778</v>
      </c>
      <c r="K56" s="8">
        <f t="shared" si="56"/>
        <v>3723.880597</v>
      </c>
      <c r="L56" s="7">
        <f t="shared" si="10"/>
        <v>4212.337662</v>
      </c>
      <c r="M56" s="7">
        <f t="shared" si="11"/>
        <v>2000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>
        <v>5200.0</v>
      </c>
      <c r="B57" s="7">
        <f t="shared" si="2"/>
        <v>6.343656344</v>
      </c>
      <c r="C57" s="7">
        <f t="shared" si="3"/>
        <v>6.784188034</v>
      </c>
      <c r="D57" s="7">
        <f t="shared" si="4"/>
        <v>7.290470723</v>
      </c>
      <c r="E57" s="7">
        <f t="shared" si="5"/>
        <v>32987.01299</v>
      </c>
      <c r="F57" s="7">
        <f t="shared" si="6"/>
        <v>35277.77778</v>
      </c>
      <c r="G57" s="7">
        <f t="shared" si="7"/>
        <v>37910.44776</v>
      </c>
      <c r="H57" s="7">
        <f t="shared" si="8"/>
        <v>23400</v>
      </c>
      <c r="I57" s="8">
        <f t="shared" ref="I57:K57" si="57">$B$6*E57</f>
        <v>3298.701299</v>
      </c>
      <c r="J57" s="8">
        <f t="shared" si="57"/>
        <v>3527.777778</v>
      </c>
      <c r="K57" s="8">
        <f t="shared" si="57"/>
        <v>3791.044776</v>
      </c>
      <c r="L57" s="7">
        <f t="shared" si="10"/>
        <v>4288.311688</v>
      </c>
      <c r="M57" s="7">
        <f t="shared" si="11"/>
        <v>2000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>
        <v>5300.0</v>
      </c>
      <c r="B58" s="7">
        <f t="shared" si="2"/>
        <v>6.334231806</v>
      </c>
      <c r="C58" s="7">
        <f t="shared" si="3"/>
        <v>6.774109015</v>
      </c>
      <c r="D58" s="7">
        <f t="shared" si="4"/>
        <v>7.279639538</v>
      </c>
      <c r="E58" s="7">
        <f t="shared" si="5"/>
        <v>33571.42857</v>
      </c>
      <c r="F58" s="7">
        <f t="shared" si="6"/>
        <v>35902.77778</v>
      </c>
      <c r="G58" s="7">
        <f t="shared" si="7"/>
        <v>38582.08955</v>
      </c>
      <c r="H58" s="7">
        <f t="shared" si="8"/>
        <v>23850</v>
      </c>
      <c r="I58" s="8">
        <f t="shared" ref="I58:K58" si="58">$B$6*E58</f>
        <v>3357.142857</v>
      </c>
      <c r="J58" s="8">
        <f t="shared" si="58"/>
        <v>3590.277778</v>
      </c>
      <c r="K58" s="8">
        <f t="shared" si="58"/>
        <v>3858.208955</v>
      </c>
      <c r="L58" s="7">
        <f t="shared" si="10"/>
        <v>4364.285714</v>
      </c>
      <c r="M58" s="7">
        <f t="shared" si="11"/>
        <v>2000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>
        <v>5400.0</v>
      </c>
      <c r="B59" s="7">
        <f t="shared" si="2"/>
        <v>6.325156325</v>
      </c>
      <c r="C59" s="7">
        <f t="shared" si="3"/>
        <v>6.764403292</v>
      </c>
      <c r="D59" s="7">
        <f t="shared" si="4"/>
        <v>7.269209508</v>
      </c>
      <c r="E59" s="7">
        <f t="shared" si="5"/>
        <v>34155.84416</v>
      </c>
      <c r="F59" s="7">
        <f t="shared" si="6"/>
        <v>36527.77778</v>
      </c>
      <c r="G59" s="7">
        <f t="shared" si="7"/>
        <v>39253.73134</v>
      </c>
      <c r="H59" s="7">
        <f t="shared" si="8"/>
        <v>24300</v>
      </c>
      <c r="I59" s="8">
        <f t="shared" ref="I59:K59" si="59">$B$6*E59</f>
        <v>3415.584416</v>
      </c>
      <c r="J59" s="8">
        <f t="shared" si="59"/>
        <v>3652.777778</v>
      </c>
      <c r="K59" s="8">
        <f t="shared" si="59"/>
        <v>3925.373134</v>
      </c>
      <c r="L59" s="7">
        <f t="shared" si="10"/>
        <v>4440.25974</v>
      </c>
      <c r="M59" s="7">
        <f t="shared" si="11"/>
        <v>2000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>
        <v>5500.0</v>
      </c>
      <c r="B60" s="7">
        <f t="shared" si="2"/>
        <v>6.316410862</v>
      </c>
      <c r="C60" s="7">
        <f t="shared" si="3"/>
        <v>6.755050505</v>
      </c>
      <c r="D60" s="7">
        <f t="shared" si="4"/>
        <v>7.259158752</v>
      </c>
      <c r="E60" s="7">
        <f t="shared" si="5"/>
        <v>34740.25974</v>
      </c>
      <c r="F60" s="7">
        <f t="shared" si="6"/>
        <v>37152.77778</v>
      </c>
      <c r="G60" s="7">
        <f t="shared" si="7"/>
        <v>39925.37313</v>
      </c>
      <c r="H60" s="7">
        <f t="shared" si="8"/>
        <v>24750</v>
      </c>
      <c r="I60" s="8">
        <f t="shared" ref="I60:K60" si="60">$B$6*E60</f>
        <v>3474.025974</v>
      </c>
      <c r="J60" s="8">
        <f t="shared" si="60"/>
        <v>3715.277778</v>
      </c>
      <c r="K60" s="8">
        <f t="shared" si="60"/>
        <v>3992.537313</v>
      </c>
      <c r="L60" s="7">
        <f t="shared" si="10"/>
        <v>4516.233766</v>
      </c>
      <c r="M60" s="7">
        <f t="shared" si="11"/>
        <v>2000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>
        <v>5600.0</v>
      </c>
      <c r="B61" s="7">
        <f t="shared" si="2"/>
        <v>6.307977737</v>
      </c>
      <c r="C61" s="7">
        <f t="shared" si="3"/>
        <v>6.746031746</v>
      </c>
      <c r="D61" s="7">
        <f t="shared" si="4"/>
        <v>7.249466951</v>
      </c>
      <c r="E61" s="7">
        <f t="shared" si="5"/>
        <v>35324.67532</v>
      </c>
      <c r="F61" s="7">
        <f t="shared" si="6"/>
        <v>37777.77778</v>
      </c>
      <c r="G61" s="7">
        <f t="shared" si="7"/>
        <v>40597.01493</v>
      </c>
      <c r="H61" s="7">
        <f t="shared" si="8"/>
        <v>25200</v>
      </c>
      <c r="I61" s="8">
        <f t="shared" ref="I61:K61" si="61">$B$6*E61</f>
        <v>3532.467532</v>
      </c>
      <c r="J61" s="8">
        <f t="shared" si="61"/>
        <v>3777.777778</v>
      </c>
      <c r="K61" s="8">
        <f t="shared" si="61"/>
        <v>4059.701493</v>
      </c>
      <c r="L61" s="7">
        <f t="shared" si="10"/>
        <v>4592.207792</v>
      </c>
      <c r="M61" s="7">
        <f t="shared" si="11"/>
        <v>2000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>
        <v>5700.0</v>
      </c>
      <c r="B62" s="7">
        <f t="shared" si="2"/>
        <v>6.29984051</v>
      </c>
      <c r="C62" s="7">
        <f t="shared" si="3"/>
        <v>6.737329435</v>
      </c>
      <c r="D62" s="7">
        <f t="shared" si="4"/>
        <v>7.240115213</v>
      </c>
      <c r="E62" s="7">
        <f t="shared" si="5"/>
        <v>35909.09091</v>
      </c>
      <c r="F62" s="7">
        <f t="shared" si="6"/>
        <v>38402.77778</v>
      </c>
      <c r="G62" s="7">
        <f t="shared" si="7"/>
        <v>41268.65672</v>
      </c>
      <c r="H62" s="7">
        <f t="shared" si="8"/>
        <v>25650</v>
      </c>
      <c r="I62" s="8">
        <f t="shared" ref="I62:K62" si="62">$B$6*E62</f>
        <v>3590.909091</v>
      </c>
      <c r="J62" s="8">
        <f t="shared" si="62"/>
        <v>3840.277778</v>
      </c>
      <c r="K62" s="8">
        <f t="shared" si="62"/>
        <v>4126.865672</v>
      </c>
      <c r="L62" s="7">
        <f t="shared" si="10"/>
        <v>4668.181818</v>
      </c>
      <c r="M62" s="7">
        <f t="shared" si="11"/>
        <v>2000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>
        <v>5800.0</v>
      </c>
      <c r="B63" s="7">
        <f t="shared" si="2"/>
        <v>6.291983878</v>
      </c>
      <c r="C63" s="7">
        <f t="shared" si="3"/>
        <v>6.728927203</v>
      </c>
      <c r="D63" s="7">
        <f t="shared" si="4"/>
        <v>7.23108595</v>
      </c>
      <c r="E63" s="7">
        <f t="shared" si="5"/>
        <v>36493.50649</v>
      </c>
      <c r="F63" s="7">
        <f t="shared" si="6"/>
        <v>39027.77778</v>
      </c>
      <c r="G63" s="7">
        <f t="shared" si="7"/>
        <v>41940.29851</v>
      </c>
      <c r="H63" s="7">
        <f t="shared" si="8"/>
        <v>26100</v>
      </c>
      <c r="I63" s="8">
        <f t="shared" ref="I63:K63" si="63">$B$6*E63</f>
        <v>3649.350649</v>
      </c>
      <c r="J63" s="8">
        <f t="shared" si="63"/>
        <v>3902.777778</v>
      </c>
      <c r="K63" s="8">
        <f t="shared" si="63"/>
        <v>4194.029851</v>
      </c>
      <c r="L63" s="7">
        <f t="shared" si="10"/>
        <v>4744.155844</v>
      </c>
      <c r="M63" s="7">
        <f t="shared" si="11"/>
        <v>2000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>
        <v>5900.0</v>
      </c>
      <c r="B64" s="7">
        <f t="shared" si="2"/>
        <v>6.284393573</v>
      </c>
      <c r="C64" s="7">
        <f t="shared" si="3"/>
        <v>6.720809793</v>
      </c>
      <c r="D64" s="7">
        <f t="shared" si="4"/>
        <v>7.222362762</v>
      </c>
      <c r="E64" s="7">
        <f t="shared" si="5"/>
        <v>37077.92208</v>
      </c>
      <c r="F64" s="7">
        <f t="shared" si="6"/>
        <v>39652.77778</v>
      </c>
      <c r="G64" s="7">
        <f t="shared" si="7"/>
        <v>42611.9403</v>
      </c>
      <c r="H64" s="7">
        <f t="shared" si="8"/>
        <v>26550</v>
      </c>
      <c r="I64" s="8">
        <f t="shared" ref="I64:K64" si="64">$B$6*E64</f>
        <v>3707.792208</v>
      </c>
      <c r="J64" s="8">
        <f t="shared" si="64"/>
        <v>3965.277778</v>
      </c>
      <c r="K64" s="8">
        <f t="shared" si="64"/>
        <v>4261.19403</v>
      </c>
      <c r="L64" s="7">
        <f t="shared" si="10"/>
        <v>4820.12987</v>
      </c>
      <c r="M64" s="7">
        <f t="shared" si="11"/>
        <v>2000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>
        <v>6000.0</v>
      </c>
      <c r="B65" s="7">
        <f t="shared" si="2"/>
        <v>6.277056277</v>
      </c>
      <c r="C65" s="7">
        <f t="shared" si="3"/>
        <v>6.712962963</v>
      </c>
      <c r="D65" s="7">
        <f t="shared" si="4"/>
        <v>7.213930348</v>
      </c>
      <c r="E65" s="7">
        <f t="shared" si="5"/>
        <v>37662.33766</v>
      </c>
      <c r="F65" s="7">
        <f t="shared" si="6"/>
        <v>40277.77778</v>
      </c>
      <c r="G65" s="7">
        <f t="shared" si="7"/>
        <v>43283.58209</v>
      </c>
      <c r="H65" s="7">
        <f t="shared" si="8"/>
        <v>27000</v>
      </c>
      <c r="I65" s="8">
        <f t="shared" ref="I65:K65" si="65">$B$6*E65</f>
        <v>3766.233766</v>
      </c>
      <c r="J65" s="8">
        <f t="shared" si="65"/>
        <v>4027.777778</v>
      </c>
      <c r="K65" s="8">
        <f t="shared" si="65"/>
        <v>4328.358209</v>
      </c>
      <c r="L65" s="7">
        <f t="shared" si="10"/>
        <v>4896.103896</v>
      </c>
      <c r="M65" s="7">
        <f t="shared" si="11"/>
        <v>2000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>
        <v>6100.0</v>
      </c>
      <c r="B66" s="7">
        <f t="shared" si="2"/>
        <v>6.269959549</v>
      </c>
      <c r="C66" s="7">
        <f t="shared" si="3"/>
        <v>6.705373406</v>
      </c>
      <c r="D66" s="7">
        <f t="shared" si="4"/>
        <v>7.205774407</v>
      </c>
      <c r="E66" s="7">
        <f t="shared" si="5"/>
        <v>38246.75325</v>
      </c>
      <c r="F66" s="7">
        <f t="shared" si="6"/>
        <v>40902.77778</v>
      </c>
      <c r="G66" s="7">
        <f t="shared" si="7"/>
        <v>43955.22388</v>
      </c>
      <c r="H66" s="7">
        <f t="shared" si="8"/>
        <v>27450</v>
      </c>
      <c r="I66" s="8">
        <f t="shared" ref="I66:K66" si="66">$B$6*E66</f>
        <v>3824.675325</v>
      </c>
      <c r="J66" s="8">
        <f t="shared" si="66"/>
        <v>4090.277778</v>
      </c>
      <c r="K66" s="8">
        <f t="shared" si="66"/>
        <v>4395.522388</v>
      </c>
      <c r="L66" s="7">
        <f t="shared" si="10"/>
        <v>4972.077922</v>
      </c>
      <c r="M66" s="7">
        <f t="shared" si="11"/>
        <v>2000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>
        <v>6200.0</v>
      </c>
      <c r="B67" s="7">
        <f t="shared" si="2"/>
        <v>6.263091747</v>
      </c>
      <c r="C67" s="7">
        <f t="shared" si="3"/>
        <v>6.698028674</v>
      </c>
      <c r="D67" s="7">
        <f t="shared" si="4"/>
        <v>7.19788156</v>
      </c>
      <c r="E67" s="7">
        <f t="shared" si="5"/>
        <v>38831.16883</v>
      </c>
      <c r="F67" s="7">
        <f t="shared" si="6"/>
        <v>41527.77778</v>
      </c>
      <c r="G67" s="7">
        <f t="shared" si="7"/>
        <v>44626.86567</v>
      </c>
      <c r="H67" s="7">
        <f t="shared" si="8"/>
        <v>27900</v>
      </c>
      <c r="I67" s="8">
        <f t="shared" ref="I67:K67" si="67">$B$6*E67</f>
        <v>3883.116883</v>
      </c>
      <c r="J67" s="8">
        <f t="shared" si="67"/>
        <v>4152.777778</v>
      </c>
      <c r="K67" s="8">
        <f t="shared" si="67"/>
        <v>4462.686567</v>
      </c>
      <c r="L67" s="7">
        <f t="shared" si="10"/>
        <v>5048.051948</v>
      </c>
      <c r="M67" s="7">
        <f t="shared" si="11"/>
        <v>2000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>
        <v>6300.0</v>
      </c>
      <c r="B68" s="7">
        <f t="shared" si="2"/>
        <v>6.256441971</v>
      </c>
      <c r="C68" s="7">
        <f t="shared" si="3"/>
        <v>6.690917108</v>
      </c>
      <c r="D68" s="7">
        <f t="shared" si="4"/>
        <v>7.19023928</v>
      </c>
      <c r="E68" s="7">
        <f t="shared" si="5"/>
        <v>39415.58442</v>
      </c>
      <c r="F68" s="7">
        <f t="shared" si="6"/>
        <v>42152.77778</v>
      </c>
      <c r="G68" s="7">
        <f t="shared" si="7"/>
        <v>45298.50746</v>
      </c>
      <c r="H68" s="7">
        <f t="shared" si="8"/>
        <v>28350</v>
      </c>
      <c r="I68" s="8">
        <f t="shared" ref="I68:K68" si="68">$B$6*E68</f>
        <v>3941.558442</v>
      </c>
      <c r="J68" s="8">
        <f t="shared" si="68"/>
        <v>4215.277778</v>
      </c>
      <c r="K68" s="8">
        <f t="shared" si="68"/>
        <v>4529.850746</v>
      </c>
      <c r="L68" s="7">
        <f t="shared" si="10"/>
        <v>5124.025974</v>
      </c>
      <c r="M68" s="7">
        <f t="shared" si="11"/>
        <v>2000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>
        <v>6400.0</v>
      </c>
      <c r="B69" s="7">
        <f t="shared" si="2"/>
        <v>6.25</v>
      </c>
      <c r="C69" s="7">
        <f t="shared" si="3"/>
        <v>6.684027778</v>
      </c>
      <c r="D69" s="7">
        <f t="shared" si="4"/>
        <v>7.182835821</v>
      </c>
      <c r="E69" s="7">
        <f t="shared" si="5"/>
        <v>40000</v>
      </c>
      <c r="F69" s="7">
        <f t="shared" si="6"/>
        <v>42777.77778</v>
      </c>
      <c r="G69" s="7">
        <f t="shared" si="7"/>
        <v>45970.14925</v>
      </c>
      <c r="H69" s="7">
        <f t="shared" si="8"/>
        <v>28800</v>
      </c>
      <c r="I69" s="8">
        <f t="shared" ref="I69:K69" si="69">$B$6*E69</f>
        <v>4000</v>
      </c>
      <c r="J69" s="8">
        <f t="shared" si="69"/>
        <v>4277.777778</v>
      </c>
      <c r="K69" s="8">
        <f t="shared" si="69"/>
        <v>4597.014925</v>
      </c>
      <c r="L69" s="7">
        <f t="shared" si="10"/>
        <v>5200</v>
      </c>
      <c r="M69" s="7">
        <f t="shared" si="11"/>
        <v>2000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>
        <v>6500.0</v>
      </c>
      <c r="B70" s="7">
        <f t="shared" si="2"/>
        <v>6.243756244</v>
      </c>
      <c r="C70" s="7">
        <f t="shared" si="3"/>
        <v>6.677350427</v>
      </c>
      <c r="D70" s="7">
        <f t="shared" si="4"/>
        <v>7.175660161</v>
      </c>
      <c r="E70" s="7">
        <f t="shared" si="5"/>
        <v>40584.41558</v>
      </c>
      <c r="F70" s="7">
        <f t="shared" si="6"/>
        <v>43402.77778</v>
      </c>
      <c r="G70" s="7">
        <f t="shared" si="7"/>
        <v>46641.79104</v>
      </c>
      <c r="H70" s="7">
        <f t="shared" si="8"/>
        <v>29250</v>
      </c>
      <c r="I70" s="8">
        <f t="shared" ref="I70:K70" si="70">$B$6*E70</f>
        <v>4058.441558</v>
      </c>
      <c r="J70" s="8">
        <f t="shared" si="70"/>
        <v>4340.277778</v>
      </c>
      <c r="K70" s="8">
        <f t="shared" si="70"/>
        <v>4664.179104</v>
      </c>
      <c r="L70" s="7">
        <f t="shared" si="10"/>
        <v>5275.974026</v>
      </c>
      <c r="M70" s="7">
        <f t="shared" si="11"/>
        <v>2000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>
        <v>6600.0</v>
      </c>
      <c r="B71" s="7">
        <f t="shared" si="2"/>
        <v>6.237701692</v>
      </c>
      <c r="C71" s="7">
        <f t="shared" si="3"/>
        <v>6.670875421</v>
      </c>
      <c r="D71" s="7">
        <f t="shared" si="4"/>
        <v>7.168701945</v>
      </c>
      <c r="E71" s="7">
        <f t="shared" si="5"/>
        <v>41168.83117</v>
      </c>
      <c r="F71" s="7">
        <f t="shared" si="6"/>
        <v>44027.77778</v>
      </c>
      <c r="G71" s="7">
        <f t="shared" si="7"/>
        <v>47313.43284</v>
      </c>
      <c r="H71" s="7">
        <f t="shared" si="8"/>
        <v>29700</v>
      </c>
      <c r="I71" s="8">
        <f t="shared" ref="I71:K71" si="71">$B$6*E71</f>
        <v>4116.883117</v>
      </c>
      <c r="J71" s="8">
        <f t="shared" si="71"/>
        <v>4402.777778</v>
      </c>
      <c r="K71" s="8">
        <f t="shared" si="71"/>
        <v>4731.343284</v>
      </c>
      <c r="L71" s="7">
        <f t="shared" si="10"/>
        <v>5351.948052</v>
      </c>
      <c r="M71" s="7">
        <f t="shared" si="11"/>
        <v>2000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>
        <v>6700.0</v>
      </c>
      <c r="B72" s="7">
        <f t="shared" si="2"/>
        <v>6.231827874</v>
      </c>
      <c r="C72" s="7">
        <f t="shared" si="3"/>
        <v>6.664593698</v>
      </c>
      <c r="D72" s="7">
        <f t="shared" si="4"/>
        <v>7.161951437</v>
      </c>
      <c r="E72" s="7">
        <f t="shared" si="5"/>
        <v>41753.24675</v>
      </c>
      <c r="F72" s="7">
        <f t="shared" si="6"/>
        <v>44652.77778</v>
      </c>
      <c r="G72" s="7">
        <f t="shared" si="7"/>
        <v>47985.07463</v>
      </c>
      <c r="H72" s="7">
        <f t="shared" si="8"/>
        <v>30150</v>
      </c>
      <c r="I72" s="8">
        <f t="shared" ref="I72:K72" si="72">$B$6*E72</f>
        <v>4175.324675</v>
      </c>
      <c r="J72" s="8">
        <f t="shared" si="72"/>
        <v>4465.277778</v>
      </c>
      <c r="K72" s="8">
        <f t="shared" si="72"/>
        <v>4798.507463</v>
      </c>
      <c r="L72" s="7">
        <f t="shared" si="10"/>
        <v>5427.922078</v>
      </c>
      <c r="M72" s="7">
        <f t="shared" si="11"/>
        <v>2000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>
        <v>6800.0</v>
      </c>
      <c r="B73" s="7">
        <f t="shared" si="2"/>
        <v>6.226126814</v>
      </c>
      <c r="C73" s="7">
        <f t="shared" si="3"/>
        <v>6.658496732</v>
      </c>
      <c r="D73" s="7">
        <f t="shared" si="4"/>
        <v>7.155399473</v>
      </c>
      <c r="E73" s="7">
        <f t="shared" si="5"/>
        <v>42337.66234</v>
      </c>
      <c r="F73" s="7">
        <f t="shared" si="6"/>
        <v>45277.77778</v>
      </c>
      <c r="G73" s="7">
        <f t="shared" si="7"/>
        <v>48656.71642</v>
      </c>
      <c r="H73" s="7">
        <f t="shared" si="8"/>
        <v>30600</v>
      </c>
      <c r="I73" s="8">
        <f t="shared" ref="I73:K73" si="73">$B$6*E73</f>
        <v>4233.766234</v>
      </c>
      <c r="J73" s="8">
        <f t="shared" si="73"/>
        <v>4527.777778</v>
      </c>
      <c r="K73" s="8">
        <f t="shared" si="73"/>
        <v>4865.671642</v>
      </c>
      <c r="L73" s="7">
        <f t="shared" si="10"/>
        <v>5503.896104</v>
      </c>
      <c r="M73" s="7">
        <f t="shared" si="11"/>
        <v>2000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>
        <v>6900.0</v>
      </c>
      <c r="B74" s="7">
        <f t="shared" si="2"/>
        <v>6.220591003</v>
      </c>
      <c r="C74" s="7">
        <f t="shared" si="3"/>
        <v>6.65257649</v>
      </c>
      <c r="D74" s="7">
        <f t="shared" si="4"/>
        <v>7.149037422</v>
      </c>
      <c r="E74" s="7">
        <f t="shared" si="5"/>
        <v>42922.07792</v>
      </c>
      <c r="F74" s="7">
        <f t="shared" si="6"/>
        <v>45902.77778</v>
      </c>
      <c r="G74" s="7">
        <f t="shared" si="7"/>
        <v>49328.35821</v>
      </c>
      <c r="H74" s="7">
        <f t="shared" si="8"/>
        <v>31050</v>
      </c>
      <c r="I74" s="8">
        <f t="shared" ref="I74:K74" si="74">$B$6*E74</f>
        <v>4292.207792</v>
      </c>
      <c r="J74" s="8">
        <f t="shared" si="74"/>
        <v>4590.277778</v>
      </c>
      <c r="K74" s="8">
        <f t="shared" si="74"/>
        <v>4932.835821</v>
      </c>
      <c r="L74" s="7">
        <f t="shared" si="10"/>
        <v>5579.87013</v>
      </c>
      <c r="M74" s="7">
        <f t="shared" si="11"/>
        <v>2000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>
        <v>7000.0</v>
      </c>
      <c r="B75" s="7">
        <f t="shared" si="2"/>
        <v>6.215213358</v>
      </c>
      <c r="C75" s="7">
        <f t="shared" si="3"/>
        <v>6.646825397</v>
      </c>
      <c r="D75" s="7">
        <f t="shared" si="4"/>
        <v>7.142857143</v>
      </c>
      <c r="E75" s="7">
        <f t="shared" si="5"/>
        <v>43506.49351</v>
      </c>
      <c r="F75" s="7">
        <f t="shared" si="6"/>
        <v>46527.77778</v>
      </c>
      <c r="G75" s="7">
        <f t="shared" si="7"/>
        <v>50000</v>
      </c>
      <c r="H75" s="7">
        <f t="shared" si="8"/>
        <v>31500</v>
      </c>
      <c r="I75" s="8">
        <f t="shared" ref="I75:K75" si="75">$B$6*E75</f>
        <v>4350.649351</v>
      </c>
      <c r="J75" s="8">
        <f t="shared" si="75"/>
        <v>4652.777778</v>
      </c>
      <c r="K75" s="8">
        <f t="shared" si="75"/>
        <v>5000</v>
      </c>
      <c r="L75" s="7">
        <f t="shared" si="10"/>
        <v>5655.844156</v>
      </c>
      <c r="M75" s="7">
        <f t="shared" si="11"/>
        <v>2000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>
        <v>7100.0</v>
      </c>
      <c r="B76" s="7">
        <f t="shared" si="2"/>
        <v>6.209987196</v>
      </c>
      <c r="C76" s="7">
        <f t="shared" si="3"/>
        <v>6.641236307</v>
      </c>
      <c r="D76" s="7">
        <f t="shared" si="4"/>
        <v>7.136850956</v>
      </c>
      <c r="E76" s="7">
        <f t="shared" si="5"/>
        <v>44090.90909</v>
      </c>
      <c r="F76" s="7">
        <f t="shared" si="6"/>
        <v>47152.77778</v>
      </c>
      <c r="G76" s="7">
        <f t="shared" si="7"/>
        <v>50671.64179</v>
      </c>
      <c r="H76" s="7">
        <f t="shared" si="8"/>
        <v>31950</v>
      </c>
      <c r="I76" s="8">
        <f t="shared" ref="I76:K76" si="76">$B$6*E76</f>
        <v>4409.090909</v>
      </c>
      <c r="J76" s="8">
        <f t="shared" si="76"/>
        <v>4715.277778</v>
      </c>
      <c r="K76" s="8">
        <f t="shared" si="76"/>
        <v>5067.164179</v>
      </c>
      <c r="L76" s="7">
        <f t="shared" si="10"/>
        <v>5731.818182</v>
      </c>
      <c r="M76" s="7">
        <f t="shared" si="11"/>
        <v>2000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>
        <v>7200.0</v>
      </c>
      <c r="B77" s="7">
        <f t="shared" si="2"/>
        <v>6.204906205</v>
      </c>
      <c r="C77" s="7">
        <f t="shared" si="3"/>
        <v>6.635802469</v>
      </c>
      <c r="D77" s="7">
        <f t="shared" si="4"/>
        <v>7.131011609</v>
      </c>
      <c r="E77" s="7">
        <f t="shared" si="5"/>
        <v>44675.32468</v>
      </c>
      <c r="F77" s="7">
        <f t="shared" si="6"/>
        <v>47777.77778</v>
      </c>
      <c r="G77" s="7">
        <f t="shared" si="7"/>
        <v>51343.28358</v>
      </c>
      <c r="H77" s="7">
        <f t="shared" si="8"/>
        <v>32400</v>
      </c>
      <c r="I77" s="8">
        <f t="shared" ref="I77:K77" si="77">$B$6*E77</f>
        <v>4467.532468</v>
      </c>
      <c r="J77" s="8">
        <f t="shared" si="77"/>
        <v>4777.777778</v>
      </c>
      <c r="K77" s="8">
        <f t="shared" si="77"/>
        <v>5134.328358</v>
      </c>
      <c r="L77" s="7">
        <f t="shared" si="10"/>
        <v>5807.792208</v>
      </c>
      <c r="M77" s="7">
        <f t="shared" si="11"/>
        <v>2000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>
        <v>7300.0</v>
      </c>
      <c r="B78" s="7">
        <f t="shared" si="2"/>
        <v>6.199964419</v>
      </c>
      <c r="C78" s="7">
        <f t="shared" si="3"/>
        <v>6.630517504</v>
      </c>
      <c r="D78" s="7">
        <f t="shared" si="4"/>
        <v>7.125332243</v>
      </c>
      <c r="E78" s="7">
        <f t="shared" si="5"/>
        <v>45259.74026</v>
      </c>
      <c r="F78" s="7">
        <f t="shared" si="6"/>
        <v>48402.77778</v>
      </c>
      <c r="G78" s="7">
        <f t="shared" si="7"/>
        <v>52014.92537</v>
      </c>
      <c r="H78" s="7">
        <f t="shared" si="8"/>
        <v>32850</v>
      </c>
      <c r="I78" s="8">
        <f t="shared" ref="I78:K78" si="78">$B$6*E78</f>
        <v>4525.974026</v>
      </c>
      <c r="J78" s="8">
        <f t="shared" si="78"/>
        <v>4840.277778</v>
      </c>
      <c r="K78" s="8">
        <f t="shared" si="78"/>
        <v>5201.492537</v>
      </c>
      <c r="L78" s="7">
        <f t="shared" si="10"/>
        <v>5883.766234</v>
      </c>
      <c r="M78" s="7">
        <f t="shared" si="11"/>
        <v>2000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>
        <v>7400.0</v>
      </c>
      <c r="B79" s="7">
        <f t="shared" si="2"/>
        <v>6.195156195</v>
      </c>
      <c r="C79" s="7">
        <f t="shared" si="3"/>
        <v>6.625375375</v>
      </c>
      <c r="D79" s="7">
        <f t="shared" si="4"/>
        <v>7.119806374</v>
      </c>
      <c r="E79" s="7">
        <f t="shared" si="5"/>
        <v>45844.15584</v>
      </c>
      <c r="F79" s="7">
        <f t="shared" si="6"/>
        <v>49027.77778</v>
      </c>
      <c r="G79" s="7">
        <f t="shared" si="7"/>
        <v>52686.56716</v>
      </c>
      <c r="H79" s="7">
        <f t="shared" si="8"/>
        <v>33300</v>
      </c>
      <c r="I79" s="8">
        <f t="shared" ref="I79:K79" si="79">$B$6*E79</f>
        <v>4584.415584</v>
      </c>
      <c r="J79" s="8">
        <f t="shared" si="79"/>
        <v>4902.777778</v>
      </c>
      <c r="K79" s="8">
        <f t="shared" si="79"/>
        <v>5268.656716</v>
      </c>
      <c r="L79" s="7">
        <f t="shared" si="10"/>
        <v>5959.74026</v>
      </c>
      <c r="M79" s="7">
        <f t="shared" si="11"/>
        <v>2000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>
        <v>7500.0</v>
      </c>
      <c r="B80" s="7">
        <f t="shared" si="2"/>
        <v>6.19047619</v>
      </c>
      <c r="C80" s="7">
        <f t="shared" si="3"/>
        <v>6.62037037</v>
      </c>
      <c r="D80" s="7">
        <f t="shared" si="4"/>
        <v>7.114427861</v>
      </c>
      <c r="E80" s="7">
        <f t="shared" si="5"/>
        <v>46428.57143</v>
      </c>
      <c r="F80" s="7">
        <f t="shared" si="6"/>
        <v>49652.77778</v>
      </c>
      <c r="G80" s="7">
        <f t="shared" si="7"/>
        <v>53358.20896</v>
      </c>
      <c r="H80" s="7">
        <f t="shared" si="8"/>
        <v>33750</v>
      </c>
      <c r="I80" s="8">
        <f t="shared" ref="I80:K80" si="80">$B$6*E80</f>
        <v>4642.857143</v>
      </c>
      <c r="J80" s="8">
        <f t="shared" si="80"/>
        <v>4965.277778</v>
      </c>
      <c r="K80" s="8">
        <f t="shared" si="80"/>
        <v>5335.820896</v>
      </c>
      <c r="L80" s="7">
        <f t="shared" si="10"/>
        <v>6035.714286</v>
      </c>
      <c r="M80" s="7">
        <f t="shared" si="11"/>
        <v>2000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>
        <v>7600.0</v>
      </c>
      <c r="B81" s="7">
        <f t="shared" si="2"/>
        <v>6.185919344</v>
      </c>
      <c r="C81" s="7">
        <f t="shared" si="3"/>
        <v>6.615497076</v>
      </c>
      <c r="D81" s="7">
        <f t="shared" si="4"/>
        <v>7.109190888</v>
      </c>
      <c r="E81" s="7">
        <f t="shared" si="5"/>
        <v>47012.98701</v>
      </c>
      <c r="F81" s="7">
        <f t="shared" si="6"/>
        <v>50277.77778</v>
      </c>
      <c r="G81" s="7">
        <f t="shared" si="7"/>
        <v>54029.85075</v>
      </c>
      <c r="H81" s="7">
        <f t="shared" si="8"/>
        <v>34200</v>
      </c>
      <c r="I81" s="8">
        <f t="shared" ref="I81:K81" si="81">$B$6*E81</f>
        <v>4701.298701</v>
      </c>
      <c r="J81" s="8">
        <f t="shared" si="81"/>
        <v>5027.777778</v>
      </c>
      <c r="K81" s="8">
        <f t="shared" si="81"/>
        <v>5402.985075</v>
      </c>
      <c r="L81" s="7">
        <f t="shared" si="10"/>
        <v>6111.688312</v>
      </c>
      <c r="M81" s="7">
        <f t="shared" si="11"/>
        <v>2000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>
        <v>7700.0</v>
      </c>
      <c r="B82" s="7">
        <f t="shared" si="2"/>
        <v>6.181480857</v>
      </c>
      <c r="C82" s="7">
        <f t="shared" si="3"/>
        <v>6.610750361</v>
      </c>
      <c r="D82" s="7">
        <f t="shared" si="4"/>
        <v>7.10408994</v>
      </c>
      <c r="E82" s="7">
        <f t="shared" si="5"/>
        <v>47597.4026</v>
      </c>
      <c r="F82" s="7">
        <f t="shared" si="6"/>
        <v>50902.77778</v>
      </c>
      <c r="G82" s="7">
        <f t="shared" si="7"/>
        <v>54701.49254</v>
      </c>
      <c r="H82" s="7">
        <f t="shared" si="8"/>
        <v>34650</v>
      </c>
      <c r="I82" s="8">
        <f t="shared" ref="I82:K82" si="82">$B$6*E82</f>
        <v>4759.74026</v>
      </c>
      <c r="J82" s="8">
        <f t="shared" si="82"/>
        <v>5090.277778</v>
      </c>
      <c r="K82" s="8">
        <f t="shared" si="82"/>
        <v>5470.149254</v>
      </c>
      <c r="L82" s="7">
        <f t="shared" si="10"/>
        <v>6187.662338</v>
      </c>
      <c r="M82" s="7">
        <f t="shared" si="11"/>
        <v>2000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>
        <v>7800.0</v>
      </c>
      <c r="B83" s="7">
        <f t="shared" si="2"/>
        <v>6.177156177</v>
      </c>
      <c r="C83" s="7">
        <f t="shared" si="3"/>
        <v>6.606125356</v>
      </c>
      <c r="D83" s="7">
        <f t="shared" si="4"/>
        <v>7.099119786</v>
      </c>
      <c r="E83" s="7">
        <f t="shared" si="5"/>
        <v>48181.81818</v>
      </c>
      <c r="F83" s="7">
        <f t="shared" si="6"/>
        <v>51527.77778</v>
      </c>
      <c r="G83" s="7">
        <f t="shared" si="7"/>
        <v>55373.13433</v>
      </c>
      <c r="H83" s="7">
        <f t="shared" si="8"/>
        <v>35100</v>
      </c>
      <c r="I83" s="8">
        <f t="shared" ref="I83:K83" si="83">$B$6*E83</f>
        <v>4818.181818</v>
      </c>
      <c r="J83" s="8">
        <f t="shared" si="83"/>
        <v>5152.777778</v>
      </c>
      <c r="K83" s="8">
        <f t="shared" si="83"/>
        <v>5537.313433</v>
      </c>
      <c r="L83" s="7">
        <f t="shared" si="10"/>
        <v>6263.636364</v>
      </c>
      <c r="M83" s="7">
        <f t="shared" si="11"/>
        <v>2000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>
        <v>7900.0</v>
      </c>
      <c r="B84" s="7">
        <f t="shared" si="2"/>
        <v>6.172940983</v>
      </c>
      <c r="C84" s="7">
        <f t="shared" si="3"/>
        <v>6.60161744</v>
      </c>
      <c r="D84" s="7">
        <f t="shared" si="4"/>
        <v>7.094275458</v>
      </c>
      <c r="E84" s="7">
        <f t="shared" si="5"/>
        <v>48766.23377</v>
      </c>
      <c r="F84" s="7">
        <f t="shared" si="6"/>
        <v>52152.77778</v>
      </c>
      <c r="G84" s="7">
        <f t="shared" si="7"/>
        <v>56044.77612</v>
      </c>
      <c r="H84" s="7">
        <f t="shared" si="8"/>
        <v>35550</v>
      </c>
      <c r="I84" s="8">
        <f t="shared" ref="I84:K84" si="84">$B$6*E84</f>
        <v>4876.623377</v>
      </c>
      <c r="J84" s="8">
        <f t="shared" si="84"/>
        <v>5215.277778</v>
      </c>
      <c r="K84" s="8">
        <f t="shared" si="84"/>
        <v>5604.477612</v>
      </c>
      <c r="L84" s="7">
        <f t="shared" si="10"/>
        <v>6339.61039</v>
      </c>
      <c r="M84" s="7">
        <f t="shared" si="11"/>
        <v>2000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6">
        <v>8000.0</v>
      </c>
      <c r="B85" s="7">
        <f t="shared" si="2"/>
        <v>6.168831169</v>
      </c>
      <c r="C85" s="7">
        <f t="shared" si="3"/>
        <v>6.597222222</v>
      </c>
      <c r="D85" s="7">
        <f t="shared" si="4"/>
        <v>7.089552239</v>
      </c>
      <c r="E85" s="7">
        <f t="shared" si="5"/>
        <v>49350.64935</v>
      </c>
      <c r="F85" s="7">
        <f t="shared" si="6"/>
        <v>52777.77778</v>
      </c>
      <c r="G85" s="7">
        <f t="shared" si="7"/>
        <v>56716.41791</v>
      </c>
      <c r="H85" s="7">
        <f t="shared" si="8"/>
        <v>36000</v>
      </c>
      <c r="I85" s="8">
        <f t="shared" ref="I85:K85" si="85">$B$6*E85</f>
        <v>4935.064935</v>
      </c>
      <c r="J85" s="8">
        <f t="shared" si="85"/>
        <v>5277.777778</v>
      </c>
      <c r="K85" s="8">
        <f t="shared" si="85"/>
        <v>5671.641791</v>
      </c>
      <c r="L85" s="7">
        <f t="shared" si="10"/>
        <v>6415.584416</v>
      </c>
      <c r="M85" s="7">
        <f t="shared" si="11"/>
        <v>2000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2530100815384257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2025-12-12T18:11:50Z</dcterms:created>
  <dc:creator>openpyxl</dc:creator>
</cp:coreProperties>
</file>